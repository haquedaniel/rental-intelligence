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rvations" sheetId="1" r:id="rId5"/>
    <sheet state="visible" name="Variable Expenses" sheetId="2" r:id="rId6"/>
    <sheet state="visible" name="Fixed Expenses" sheetId="3" r:id="rId7"/>
    <sheet state="visible" name="Pricing Rules" sheetId="4" r:id="rId8"/>
    <sheet state="visible" name="Leads" sheetId="5" r:id="rId9"/>
    <sheet state="visible" name="Widget Settings" sheetId="6" r:id="rId10"/>
    <sheet state="visible" name="Monthly Targets" sheetId="7" r:id="rId11"/>
    <sheet state="visible" name="Lookups" sheetId="8" r:id="rId12"/>
    <sheet state="visible" name="Listings" sheetId="9" r:id="rId13"/>
    <sheet state="visible" name="Market Listings" sheetId="10" r:id="rId14"/>
    <sheet state="visible" name="Market Competitor Sets" sheetId="11" r:id="rId15"/>
    <sheet state="visible" name="Market Scenarios" sheetId="12" r:id="rId16"/>
    <sheet state="visible" name="Market Settings" sheetId="13" r:id="rId17"/>
  </sheets>
  <definedNames>
    <definedName hidden="1" localSheetId="0" name="_xlnm._FilterDatabase">Reservations!$A$1:$K$69</definedName>
    <definedName hidden="1" localSheetId="1" name="_xlnm._FilterDatabase">'Variable Expenses'!$B$1:$B$1000</definedName>
    <definedName hidden="1" localSheetId="2" name="_xlnm._FilterDatabase">'Fixed Expenses'!$A$1:$Z$44</definedName>
  </definedNames>
  <calcPr/>
</workbook>
</file>

<file path=xl/sharedStrings.xml><?xml version="1.0" encoding="utf-8"?>
<sst xmlns="http://schemas.openxmlformats.org/spreadsheetml/2006/main" count="476" uniqueCount="267">
  <si>
    <t>Guest Name</t>
  </si>
  <si>
    <t>Listing</t>
  </si>
  <si>
    <t>Booking Source</t>
  </si>
  <si>
    <t>Confirmation Code</t>
  </si>
  <si>
    <t>Booking Date</t>
  </si>
  <si>
    <t>Check in Date</t>
  </si>
  <si>
    <t>Number of Nights</t>
  </si>
  <si>
    <t>Total Revenue</t>
  </si>
  <si>
    <t>Cleaning Fees</t>
  </si>
  <si>
    <t>Concierge Commission</t>
  </si>
  <si>
    <t>Revenue Net</t>
  </si>
  <si>
    <t>Frais Menage+comm</t>
  </si>
  <si>
    <t>Rentabilité</t>
  </si>
  <si>
    <t>Taux par nuit</t>
  </si>
  <si>
    <t>Meuble Apt 6</t>
  </si>
  <si>
    <t>Other</t>
  </si>
  <si>
    <t>Jordan Peskerezh</t>
  </si>
  <si>
    <t>Daniel</t>
  </si>
  <si>
    <t>AirBnb</t>
  </si>
  <si>
    <t>Jean-Louis</t>
  </si>
  <si>
    <t>Gabriel</t>
  </si>
  <si>
    <t>FG</t>
  </si>
  <si>
    <t>FG Web Site</t>
  </si>
  <si>
    <t>Cecile</t>
  </si>
  <si>
    <t>Annaig</t>
  </si>
  <si>
    <t>Didier</t>
  </si>
  <si>
    <t>Cinema</t>
  </si>
  <si>
    <t>Julien</t>
  </si>
  <si>
    <t>Leboncoin</t>
  </si>
  <si>
    <t>Marine</t>
  </si>
  <si>
    <t>Lorenz</t>
  </si>
  <si>
    <t>Veronique</t>
  </si>
  <si>
    <t>Worso</t>
  </si>
  <si>
    <t>Audrey</t>
  </si>
  <si>
    <t>Christelle</t>
  </si>
  <si>
    <t>Virginie</t>
  </si>
  <si>
    <t>Tom</t>
  </si>
  <si>
    <t>Jan Hendrik Kreis</t>
  </si>
  <si>
    <t>Thomas</t>
  </si>
  <si>
    <t>Yolande</t>
  </si>
  <si>
    <t>FG Website</t>
  </si>
  <si>
    <t>Emilie</t>
  </si>
  <si>
    <t>Lena</t>
  </si>
  <si>
    <t>Inconnu</t>
  </si>
  <si>
    <t>Maxime</t>
  </si>
  <si>
    <t>Marie Catherine</t>
  </si>
  <si>
    <t>Chantal</t>
  </si>
  <si>
    <t>Andy</t>
  </si>
  <si>
    <t>Anna</t>
  </si>
  <si>
    <t>Siegfried</t>
  </si>
  <si>
    <t>Elisa</t>
  </si>
  <si>
    <t>Eva</t>
  </si>
  <si>
    <t>Manon</t>
  </si>
  <si>
    <t>Anthony</t>
  </si>
  <si>
    <t>Gisela</t>
  </si>
  <si>
    <t>Maxence</t>
  </si>
  <si>
    <t>Website</t>
  </si>
  <si>
    <t>Anne</t>
  </si>
  <si>
    <t>Chloé</t>
  </si>
  <si>
    <t>Mickael</t>
  </si>
  <si>
    <t>Magali</t>
  </si>
  <si>
    <t>Benoit</t>
  </si>
  <si>
    <t>Maud</t>
  </si>
  <si>
    <t>Marie</t>
  </si>
  <si>
    <t>Lucie</t>
  </si>
  <si>
    <t>Nathalie</t>
  </si>
  <si>
    <t>Safrano</t>
  </si>
  <si>
    <t>Airbnb</t>
  </si>
  <si>
    <t>Cyril</t>
  </si>
  <si>
    <t>Gaetan</t>
  </si>
  <si>
    <t>Yannik</t>
  </si>
  <si>
    <t>Sylvie</t>
  </si>
  <si>
    <t>Angelique</t>
  </si>
  <si>
    <t>Alice</t>
  </si>
  <si>
    <t>Johannes</t>
  </si>
  <si>
    <t xml:space="preserve">Alexandre </t>
  </si>
  <si>
    <t>Prescilia</t>
  </si>
  <si>
    <t>Carlos</t>
  </si>
  <si>
    <t>Description</t>
  </si>
  <si>
    <t>Type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</si>
  <si>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</si>
  <si>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</si>
  <si>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</si>
  <si>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</si>
  <si>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</si>
  <si>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</si>
  <si>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</si>
  <si>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</si>
  <si>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</si>
  <si>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</si>
  <si>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</si>
  <si>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</si>
  <si>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Electricité</t>
  </si>
  <si>
    <t>estimate</t>
  </si>
  <si>
    <t>actual</t>
  </si>
  <si>
    <t>Fuel</t>
  </si>
  <si>
    <t xml:space="preserve">Mensualité Prêt </t>
  </si>
  <si>
    <t>Charges Copro</t>
  </si>
  <si>
    <t>CFE</t>
  </si>
  <si>
    <t>Assurance PNO</t>
  </si>
  <si>
    <t>Assurance Habitation</t>
  </si>
  <si>
    <t>Jardin</t>
  </si>
  <si>
    <t>Compta</t>
  </si>
  <si>
    <t>Taxe foncieres</t>
  </si>
  <si>
    <t>Tax Habitation</t>
  </si>
  <si>
    <t>Electricité abonnement</t>
  </si>
  <si>
    <t>rule_id</t>
  </si>
  <si>
    <t>property_id</t>
  </si>
  <si>
    <t>start_date</t>
  </si>
  <si>
    <t>end_date</t>
  </si>
  <si>
    <t>nightly_price</t>
  </si>
  <si>
    <t>cleaning_fee</t>
  </si>
  <si>
    <t>min_nights</t>
  </si>
  <si>
    <t>created_at</t>
  </si>
  <si>
    <t>status</t>
  </si>
  <si>
    <t>check_in</t>
  </si>
  <si>
    <t>check_out</t>
  </si>
  <si>
    <t>nights</t>
  </si>
  <si>
    <t>guests</t>
  </si>
  <si>
    <t>currency</t>
  </si>
  <si>
    <t>accommodation_total</t>
  </si>
  <si>
    <t>taxe_de_sejour</t>
  </si>
  <si>
    <t>quoted_total</t>
  </si>
  <si>
    <t>name</t>
  </si>
  <si>
    <t>email</t>
  </si>
  <si>
    <t>phone</t>
  </si>
  <si>
    <t>message</t>
  </si>
  <si>
    <t>gdpr_consent</t>
  </si>
  <si>
    <t>country</t>
  </si>
  <si>
    <t>city</t>
  </si>
  <si>
    <t>timezone</t>
  </si>
  <si>
    <t>source_url</t>
  </si>
  <si>
    <t>user_agent</t>
  </si>
  <si>
    <t>2026-05-23T18:52:50.741Z</t>
  </si>
  <si>
    <t>notified</t>
  </si>
  <si>
    <t>EUR</t>
  </si>
  <si>
    <t>Test User</t>
  </si>
  <si>
    <t>test@example.com</t>
  </si>
  <si>
    <t>Test lead</t>
  </si>
  <si>
    <t>US</t>
  </si>
  <si>
    <t>Charlotte</t>
  </si>
  <si>
    <t>America/New_York</t>
  </si>
  <si>
    <t>test</t>
  </si>
  <si>
    <t>curl/8.7.1</t>
  </si>
  <si>
    <t>2026-05-23T18:57:38.633Z</t>
  </si>
  <si>
    <t>Daniel Haque</t>
  </si>
  <si>
    <t>dhaque@gmail.com</t>
  </si>
  <si>
    <t>test 123</t>
  </si>
  <si>
    <t>https://widget.leclosdelavoilerie.com/</t>
  </si>
  <si>
    <t>Mozilla/5.0 (Macintosh; Intel Mac OS X 10_15_7) AppleWebKit/537.36 (KHTML, like Gecko) Chrome/147.0.0.0 Safari/537.36</t>
  </si>
  <si>
    <t>2026-05-23T19:07:26.306Z</t>
  </si>
  <si>
    <t>Test mister</t>
  </si>
  <si>
    <t>yeahg baby</t>
  </si>
  <si>
    <t>2026-05-23T19:16:01.861Z</t>
  </si>
  <si>
    <t>Aurore</t>
  </si>
  <si>
    <t>aurorefourrier@hotmail.fr</t>
  </si>
  <si>
    <t>hey babe</t>
  </si>
  <si>
    <t>https://widget.leclosdelavoilerie.com/?property_id=5</t>
  </si>
  <si>
    <t>2026-05-23T20:29:22.734Z</t>
  </si>
  <si>
    <t>Leopold Haque</t>
  </si>
  <si>
    <t>baby</t>
  </si>
  <si>
    <t>https://widget.leclosdelavoilerie.com/?property_id=0</t>
  </si>
  <si>
    <t>Mozilla/5.0 (Macintosh; Intel Mac OS X 10_15_7) AppleWebKit/605.1.15 (KHTML, like Gecko) Version/26.3.1 Safari/605.1.15</t>
  </si>
  <si>
    <t>2026-05-24T00:47:40.274Z</t>
  </si>
  <si>
    <t>Danny boy</t>
  </si>
  <si>
    <t>just a test</t>
  </si>
  <si>
    <t>https://widget.leclosdelavoilerie.com/?portfolio=voilerie</t>
  </si>
  <si>
    <t>key</t>
  </si>
  <si>
    <t>value</t>
  </si>
  <si>
    <t>default_currency</t>
  </si>
  <si>
    <t>default_language</t>
  </si>
  <si>
    <t>fr</t>
  </si>
  <si>
    <t>default_min_nights</t>
  </si>
  <si>
    <t>booking_email_to</t>
  </si>
  <si>
    <t>lead_status_default</t>
  </si>
  <si>
    <t>new</t>
  </si>
  <si>
    <t>quote_valid_hours</t>
  </si>
  <si>
    <t>show_cleaning_fee</t>
  </si>
  <si>
    <t>allow_hold_request</t>
  </si>
  <si>
    <t>max_guests_default</t>
  </si>
  <si>
    <t>direct_booking_message</t>
  </si>
  <si>
    <t>Demande envoyée — nous revenons vers vous rapidement.</t>
  </si>
  <si>
    <t>Month</t>
  </si>
  <si>
    <t>Year</t>
  </si>
  <si>
    <t>Sum</t>
  </si>
  <si>
    <t>Listings</t>
  </si>
  <si>
    <t>Grande maison de famille avec piscine</t>
  </si>
  <si>
    <t>Un balcon sur la mer</t>
  </si>
  <si>
    <t>Les pieds dans l’eau</t>
  </si>
  <si>
    <t>Apartment 5</t>
  </si>
  <si>
    <t>Apartment 6</t>
  </si>
  <si>
    <t>Annexe</t>
  </si>
  <si>
    <t>Apartment Plozevet</t>
  </si>
  <si>
    <t>Source</t>
  </si>
  <si>
    <t>LeBonCoin</t>
  </si>
  <si>
    <t>Milliemes</t>
  </si>
  <si>
    <t>Lots</t>
  </si>
  <si>
    <t>Milliemes de Charges generale</t>
  </si>
  <si>
    <t>listing</t>
  </si>
  <si>
    <t>%</t>
  </si>
  <si>
    <t>Total ours</t>
  </si>
  <si>
    <t>Name</t>
  </si>
  <si>
    <t>Description AirBnB</t>
  </si>
  <si>
    <t>Group</t>
  </si>
  <si>
    <t>La Peskerezh</t>
  </si>
  <si>
    <t>Peskerezh</t>
  </si>
  <si>
    <t>Voilerie 4</t>
  </si>
  <si>
    <t>Voilerie</t>
  </si>
  <si>
    <t>Voilerie 2</t>
  </si>
  <si>
    <t>Un jardin sur la mer</t>
  </si>
  <si>
    <t>Voilerie 5</t>
  </si>
  <si>
    <t>Voilerie 6</t>
  </si>
  <si>
    <t>VoilerieOther</t>
  </si>
  <si>
    <t>Voilerie Annexe</t>
  </si>
  <si>
    <t>Apartment La Peskerezh</t>
  </si>
  <si>
    <t>active</t>
  </si>
  <si>
    <t>listing_id</t>
  </si>
  <si>
    <t>listing_name</t>
  </si>
  <si>
    <t>type</t>
  </si>
  <si>
    <t>source</t>
  </si>
  <si>
    <t>airbnb_id</t>
  </si>
  <si>
    <t>portfolio</t>
  </si>
  <si>
    <t>notes</t>
  </si>
  <si>
    <t>4</t>
  </si>
  <si>
    <t>own</t>
  </si>
  <si>
    <t>airbnb</t>
  </si>
  <si>
    <t>1445081161439839662</t>
  </si>
  <si>
    <t>c1</t>
  </si>
  <si>
    <t>Philippe Tessier</t>
  </si>
  <si>
    <t>competitor</t>
  </si>
  <si>
    <t>1634147360136656154</t>
  </si>
  <si>
    <t>c2</t>
  </si>
  <si>
    <t>Trescadec</t>
  </si>
  <si>
    <t>14884205</t>
  </si>
  <si>
    <t>2</t>
  </si>
  <si>
    <t>1575129991787890434</t>
  </si>
  <si>
    <t>5</t>
  </si>
  <si>
    <t>1434608008789009131</t>
  </si>
  <si>
    <t>c3</t>
  </si>
  <si>
    <t>Sea view &amp; Port d'Audierne</t>
  </si>
  <si>
    <t>1370286702062952676</t>
  </si>
  <si>
    <t>c4</t>
  </si>
  <si>
    <t>House combining old and contemporary with garden</t>
  </si>
  <si>
    <t>45538206</t>
  </si>
  <si>
    <t>own_listing_id</t>
  </si>
  <si>
    <t>competitor_listing_id</t>
  </si>
  <si>
    <t>expected_price_index</t>
  </si>
  <si>
    <t>competitor should be 20% cheaper</t>
  </si>
  <si>
    <t>scenario_id</t>
  </si>
  <si>
    <t>mode</t>
  </si>
  <si>
    <t>horizon_count</t>
  </si>
  <si>
    <t>month_start_offset</t>
  </si>
  <si>
    <t>adults</t>
  </si>
  <si>
    <t>children</t>
  </si>
  <si>
    <t>infants</t>
  </si>
  <si>
    <t>pets</t>
  </si>
  <si>
    <t>checkin_weekday</t>
  </si>
  <si>
    <t>weekly_7n</t>
  </si>
  <si>
    <t>weekly</t>
  </si>
  <si>
    <t>Saturday</t>
  </si>
  <si>
    <t>monthly_7n</t>
  </si>
  <si>
    <t>apify_actor_id</t>
  </si>
  <si>
    <t>sve/airbnb-price-scraper</t>
  </si>
  <si>
    <t>max_scrapes_per_run</t>
  </si>
  <si>
    <t>alert_price_change_pct</t>
  </si>
  <si>
    <t>output_folder</t>
  </si>
  <si>
    <t>data/market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</si>
</sst>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d/m/yyyy"/>
    <numFmt numFmtId="167" formatCode="yyyy-mm-dd"/>
  </numFmts>
  <fonts count="19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  <font>
      <b/>
      <color rgb="FF000000"/>
      <name val="Arial"/>
    </font>
    <font>
      <b/>
      <color rgb="FF000000"/>
      <name val="Aptos Narrow"/>
      <scheme val="minor"/>
    </font>
    <font>
      <color rgb="FF000000"/>
      <name val="Arial"/>
    </font>
    <font>
      <b/>
      <color theme="1"/>
      <name val="Arial"/>
    </font>
    <font>
      <u/>
      <color rgb="FF0000FF"/>
    </font>
    <font>
      <color rgb="FF000000"/>
      <name val="Aptos Narrow"/>
      <scheme val="minor"/>
    </font>
    <font>
      <color rgb="FF1F1F1F"/>
      <name val="Arial"/>
    </font>
    <font>
      <sz val="10.0"/>
      <color rgb="FF000000"/>
      <name val="Helvetica Neue"/>
    </font>
    <font>
      <sz val="12.0"/>
      <color rgb="FFFFFFFF"/>
      <name val="Aptos Narrow"/>
    </font>
    <font>
      <sz val="12.0"/>
      <color theme="0"/>
      <name val="Aptos Narrow"/>
    </font>
    <font>
      <sz val="12.0"/>
      <color rgb="FF000000"/>
      <name val="Aptos Narrow"/>
    </font>
    <font>
      <sz val="12.0"/>
      <color rgb="FF222222"/>
      <name val="Arial"/>
    </font>
    <font>
      <sz val="12.0"/>
      <color rgb="FF000000"/>
      <name val="-webkit-standard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2" numFmtId="2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2" numFmtId="1" xfId="0" applyFont="1" applyNumberFormat="1"/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7" numFmtId="0" xfId="0" applyAlignment="1" applyFont="1">
      <alignment readingOrder="0"/>
    </xf>
    <xf borderId="0" fillId="0" fontId="7" numFmtId="167" xfId="0" applyAlignment="1" applyFont="1" applyNumberFormat="1">
      <alignment readingOrder="0"/>
    </xf>
    <xf borderId="0" fillId="0" fontId="7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  <xf borderId="1" fillId="2" fontId="13" numFmtId="0" xfId="0" applyBorder="1" applyFill="1" applyFont="1"/>
    <xf borderId="1" fillId="3" fontId="14" numFmtId="0" xfId="0" applyBorder="1" applyFill="1" applyFont="1"/>
    <xf borderId="0" fillId="0" fontId="15" numFmtId="0" xfId="0" applyFont="1"/>
    <xf borderId="0" fillId="0" fontId="5" numFmtId="49" xfId="0" applyAlignment="1" applyFont="1" applyNumberFormat="1">
      <alignment horizontal="center" readingOrder="0"/>
    </xf>
    <xf borderId="0" fillId="0" fontId="7" numFmtId="49" xfId="0" applyAlignment="1" applyFont="1" applyNumberFormat="1">
      <alignment readingOrder="0"/>
    </xf>
    <xf quotePrefix="1" borderId="0" fillId="0" fontId="7" numFmtId="49" xfId="0" applyAlignment="1" applyFont="1" applyNumberFormat="1">
      <alignment readingOrder="0"/>
    </xf>
    <xf borderId="0" fillId="0" fontId="10" numFmtId="0" xfId="0" applyFont="1"/>
    <xf borderId="0" fillId="4" fontId="16" numFmtId="0" xfId="0" applyAlignment="1" applyFill="1" applyFont="1">
      <alignment readingOrder="0"/>
    </xf>
    <xf borderId="0" fillId="0" fontId="4" numFmtId="49" xfId="0" applyAlignment="1" applyFont="1" applyNumberFormat="1">
      <alignment readingOrder="0"/>
    </xf>
    <xf quotePrefix="1" borderId="0" fillId="0" fontId="4" numFmtId="49" xfId="0" applyAlignment="1" applyFont="1" applyNumberFormat="1">
      <alignment readingOrder="0"/>
    </xf>
    <xf borderId="0" fillId="0" fontId="3" numFmtId="49" xfId="0" applyFont="1" applyNumberFormat="1"/>
    <xf borderId="0" fillId="0" fontId="10" numFmtId="0" xfId="0" applyAlignment="1" applyFont="1">
      <alignment horizontal="right"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657225</xdr:colOff>
      <xdr:row>4</xdr:row>
      <xdr:rowOff>47625</xdr:rowOff>
    </xdr:from>
    <xdr:ext cx="1552575" cy="466725"/>
    <xdr:sp>
      <xdr:nvSpPr>
        <xdr:cNvPr id="3" name="Shape 3"/>
        <xdr:cNvSpPr/>
      </xdr:nvSpPr>
      <xdr:spPr>
        <a:xfrm>
          <a:off x="4579238" y="3556163"/>
          <a:ext cx="1533525" cy="44767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Update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idget.leclosdelavoilerie.com/" TargetMode="External"/><Relationship Id="rId2" Type="http://schemas.openxmlformats.org/officeDocument/2006/relationships/hyperlink" Target="https://widget.leclosdelavoilerie.com/" TargetMode="External"/><Relationship Id="rId3" Type="http://schemas.openxmlformats.org/officeDocument/2006/relationships/hyperlink" Target="https://widget.leclosdelavoilerie.com/?property_id=5" TargetMode="External"/><Relationship Id="rId4" Type="http://schemas.openxmlformats.org/officeDocument/2006/relationships/hyperlink" Target="https://widget.leclosdelavoilerie.com/?property_id=0" TargetMode="External"/><Relationship Id="rId5" Type="http://schemas.openxmlformats.org/officeDocument/2006/relationships/hyperlink" Target="https://widget.leclosdelavoilerie.com/?portfolio=voilerie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2" width="8.0"/>
    <col customWidth="1" min="3" max="3" width="18.44"/>
    <col customWidth="1" min="4" max="5" width="12.44"/>
    <col customWidth="1" min="6" max="6" width="15.33"/>
    <col customWidth="1" min="7" max="7" width="12.78"/>
    <col customWidth="1" min="8" max="8" width="16.44"/>
    <col customWidth="1" min="9" max="9" width="15.33"/>
    <col customWidth="1" min="10" max="10" width="20.11"/>
    <col customWidth="1" min="11" max="11" width="10.56"/>
    <col customWidth="1" min="12" max="12" width="19.67"/>
    <col customWidth="1" min="13" max="13" width="10.56"/>
    <col customWidth="1" min="14" max="14" width="10.78"/>
    <col customWidth="1" min="15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14</v>
      </c>
      <c r="B2" s="3">
        <v>6.0</v>
      </c>
      <c r="C2" s="3" t="s">
        <v>15</v>
      </c>
      <c r="D2" s="3"/>
      <c r="E2" s="4">
        <v>46023.0</v>
      </c>
      <c r="F2" s="4">
        <v>46023.0</v>
      </c>
      <c r="G2" s="3">
        <v>365.0</v>
      </c>
      <c r="H2" s="3">
        <f>850*12</f>
        <v>10200</v>
      </c>
      <c r="I2" s="3">
        <v>0.0</v>
      </c>
      <c r="J2" s="3">
        <v>0.0</v>
      </c>
      <c r="K2" s="3">
        <f t="shared" ref="K2:K57" si="1">H2-I2-J2</f>
        <v>10200</v>
      </c>
      <c r="L2" s="3">
        <f t="shared" ref="L2:L58" si="2">SUM(I2:J2)</f>
        <v>0</v>
      </c>
      <c r="M2" s="5">
        <f t="shared" ref="M2:M60" si="3">(H2-L2)/H2</f>
        <v>1</v>
      </c>
      <c r="N2" s="6">
        <f t="shared" ref="N2:N60" si="4">K2/G2</f>
        <v>27.94520548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16</v>
      </c>
      <c r="B3" s="3">
        <v>8.0</v>
      </c>
      <c r="C3" s="3" t="s">
        <v>15</v>
      </c>
      <c r="D3" s="3"/>
      <c r="E3" s="4">
        <v>46023.0</v>
      </c>
      <c r="F3" s="4">
        <v>46023.0</v>
      </c>
      <c r="G3" s="3">
        <v>365.0</v>
      </c>
      <c r="H3" s="3">
        <f>500*12</f>
        <v>6000</v>
      </c>
      <c r="I3" s="3">
        <v>0.0</v>
      </c>
      <c r="J3" s="3">
        <v>0.0</v>
      </c>
      <c r="K3" s="3">
        <f t="shared" si="1"/>
        <v>6000</v>
      </c>
      <c r="L3" s="3">
        <f t="shared" si="2"/>
        <v>0</v>
      </c>
      <c r="M3" s="5">
        <f t="shared" si="3"/>
        <v>1</v>
      </c>
      <c r="N3" s="6">
        <f t="shared" si="4"/>
        <v>16.43835616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7" t="s">
        <v>17</v>
      </c>
      <c r="B4" s="7">
        <v>2.0</v>
      </c>
      <c r="C4" s="7" t="s">
        <v>18</v>
      </c>
      <c r="F4" s="4">
        <v>46052.0</v>
      </c>
      <c r="G4" s="7">
        <v>3.0</v>
      </c>
      <c r="H4" s="7">
        <v>218.85</v>
      </c>
      <c r="I4" s="7">
        <v>85.0</v>
      </c>
      <c r="J4" s="7">
        <f t="shared" ref="J4:J34" si="5">(H4-I4)*24%</f>
        <v>32.124</v>
      </c>
      <c r="K4" s="7">
        <f t="shared" si="1"/>
        <v>101.726</v>
      </c>
      <c r="L4" s="7">
        <f t="shared" si="2"/>
        <v>117.124</v>
      </c>
      <c r="M4" s="5">
        <f t="shared" si="3"/>
        <v>0.4648206534</v>
      </c>
      <c r="N4" s="6">
        <f t="shared" si="4"/>
        <v>33.90866667</v>
      </c>
    </row>
    <row r="5" ht="15.75" customHeight="1">
      <c r="A5" s="7" t="s">
        <v>19</v>
      </c>
      <c r="B5" s="7">
        <v>2.0</v>
      </c>
      <c r="C5" s="7" t="s">
        <v>18</v>
      </c>
      <c r="E5" s="4">
        <v>46055.0</v>
      </c>
      <c r="F5" s="4">
        <v>46055.0</v>
      </c>
      <c r="G5" s="7">
        <v>3.0</v>
      </c>
      <c r="H5" s="7">
        <v>218.85</v>
      </c>
      <c r="I5" s="7">
        <v>85.0</v>
      </c>
      <c r="J5" s="7">
        <f t="shared" si="5"/>
        <v>32.124</v>
      </c>
      <c r="K5" s="7">
        <f t="shared" si="1"/>
        <v>101.726</v>
      </c>
      <c r="L5" s="7">
        <f t="shared" si="2"/>
        <v>117.124</v>
      </c>
      <c r="M5" s="5">
        <f t="shared" si="3"/>
        <v>0.4648206534</v>
      </c>
      <c r="N5" s="6">
        <f t="shared" si="4"/>
        <v>33.90866667</v>
      </c>
    </row>
    <row r="6" ht="15.75" customHeight="1">
      <c r="A6" s="7" t="s">
        <v>20</v>
      </c>
      <c r="B6" s="7">
        <v>5.0</v>
      </c>
      <c r="C6" s="7" t="s">
        <v>18</v>
      </c>
      <c r="E6" s="4">
        <v>46035.0</v>
      </c>
      <c r="F6" s="4">
        <v>46080.0</v>
      </c>
      <c r="G6" s="7">
        <v>2.0</v>
      </c>
      <c r="H6" s="7">
        <v>155.2</v>
      </c>
      <c r="I6" s="7">
        <v>65.0</v>
      </c>
      <c r="J6" s="7">
        <f t="shared" si="5"/>
        <v>21.648</v>
      </c>
      <c r="K6" s="7">
        <f t="shared" si="1"/>
        <v>68.552</v>
      </c>
      <c r="L6" s="7">
        <f t="shared" si="2"/>
        <v>86.648</v>
      </c>
      <c r="M6" s="5">
        <f t="shared" si="3"/>
        <v>0.4417010309</v>
      </c>
      <c r="N6" s="6">
        <f t="shared" si="4"/>
        <v>34.276</v>
      </c>
    </row>
    <row r="7" ht="15.75" customHeight="1">
      <c r="A7" s="7" t="s">
        <v>21</v>
      </c>
      <c r="B7" s="7">
        <v>5.0</v>
      </c>
      <c r="C7" s="7" t="s">
        <v>22</v>
      </c>
      <c r="F7" s="4">
        <v>46043.0</v>
      </c>
      <c r="G7" s="7">
        <v>5.0</v>
      </c>
      <c r="H7" s="7">
        <v>300.0</v>
      </c>
      <c r="I7" s="7">
        <v>65.0</v>
      </c>
      <c r="J7" s="7">
        <f t="shared" si="5"/>
        <v>56.4</v>
      </c>
      <c r="K7" s="7">
        <f t="shared" si="1"/>
        <v>178.6</v>
      </c>
      <c r="L7" s="7">
        <f t="shared" si="2"/>
        <v>121.4</v>
      </c>
      <c r="M7" s="5">
        <f t="shared" si="3"/>
        <v>0.5953333333</v>
      </c>
      <c r="N7" s="6">
        <f t="shared" si="4"/>
        <v>35.72</v>
      </c>
    </row>
    <row r="8" ht="15.75" customHeight="1">
      <c r="A8" s="7" t="s">
        <v>23</v>
      </c>
      <c r="B8" s="7">
        <v>2.0</v>
      </c>
      <c r="C8" s="7" t="s">
        <v>18</v>
      </c>
      <c r="E8" s="4">
        <v>46047.0</v>
      </c>
      <c r="F8" s="4">
        <v>46059.0</v>
      </c>
      <c r="G8" s="7">
        <v>2.0</v>
      </c>
      <c r="H8" s="7">
        <v>181.67</v>
      </c>
      <c r="I8" s="7">
        <v>85.0</v>
      </c>
      <c r="J8" s="7">
        <f t="shared" si="5"/>
        <v>23.2008</v>
      </c>
      <c r="K8" s="7">
        <f t="shared" si="1"/>
        <v>73.4692</v>
      </c>
      <c r="L8" s="7">
        <f t="shared" si="2"/>
        <v>108.2008</v>
      </c>
      <c r="M8" s="5">
        <f t="shared" si="3"/>
        <v>0.4044101943</v>
      </c>
      <c r="N8" s="6">
        <f t="shared" si="4"/>
        <v>36.7346</v>
      </c>
    </row>
    <row r="9" ht="15.75" customHeight="1">
      <c r="A9" s="7" t="s">
        <v>24</v>
      </c>
      <c r="B9" s="7">
        <v>2.0</v>
      </c>
      <c r="C9" s="7" t="s">
        <v>18</v>
      </c>
      <c r="E9" s="4">
        <v>46089.0</v>
      </c>
      <c r="F9" s="4">
        <v>46101.0</v>
      </c>
      <c r="G9" s="7">
        <v>2.0</v>
      </c>
      <c r="H9" s="7">
        <v>215.47</v>
      </c>
      <c r="I9" s="7">
        <v>105.0</v>
      </c>
      <c r="J9" s="7">
        <f t="shared" si="5"/>
        <v>26.5128</v>
      </c>
      <c r="K9" s="7">
        <f t="shared" si="1"/>
        <v>83.9572</v>
      </c>
      <c r="L9" s="7">
        <f t="shared" si="2"/>
        <v>131.5128</v>
      </c>
      <c r="M9" s="5">
        <f t="shared" si="3"/>
        <v>0.3896468186</v>
      </c>
      <c r="N9" s="6">
        <f t="shared" si="4"/>
        <v>41.9786</v>
      </c>
    </row>
    <row r="10" ht="15.75" customHeight="1">
      <c r="A10" s="7" t="s">
        <v>25</v>
      </c>
      <c r="B10" s="7">
        <v>5.0</v>
      </c>
      <c r="C10" s="7" t="s">
        <v>18</v>
      </c>
      <c r="E10" s="4">
        <v>46085.0</v>
      </c>
      <c r="F10" s="4">
        <v>46086.0</v>
      </c>
      <c r="G10" s="7">
        <v>3.0</v>
      </c>
      <c r="H10" s="7">
        <v>236.18</v>
      </c>
      <c r="I10" s="7">
        <v>65.0</v>
      </c>
      <c r="J10" s="7">
        <f t="shared" si="5"/>
        <v>41.0832</v>
      </c>
      <c r="K10" s="7">
        <f t="shared" si="1"/>
        <v>130.0968</v>
      </c>
      <c r="L10" s="7">
        <f t="shared" si="2"/>
        <v>106.0832</v>
      </c>
      <c r="M10" s="5">
        <f t="shared" si="3"/>
        <v>0.5508374968</v>
      </c>
      <c r="N10" s="6">
        <f t="shared" si="4"/>
        <v>43.3656</v>
      </c>
    </row>
    <row r="11" ht="15.75" customHeight="1">
      <c r="A11" s="7" t="s">
        <v>26</v>
      </c>
      <c r="B11" s="7">
        <v>2.0</v>
      </c>
      <c r="C11" s="7" t="s">
        <v>22</v>
      </c>
      <c r="E11" s="4">
        <v>46060.0</v>
      </c>
      <c r="F11" s="4">
        <v>46074.0</v>
      </c>
      <c r="G11" s="7">
        <v>14.0</v>
      </c>
      <c r="H11" s="7">
        <v>890.0</v>
      </c>
      <c r="I11" s="7">
        <v>85.0</v>
      </c>
      <c r="J11" s="7">
        <f t="shared" si="5"/>
        <v>193.2</v>
      </c>
      <c r="K11" s="7">
        <f t="shared" si="1"/>
        <v>611.8</v>
      </c>
      <c r="L11" s="7">
        <f t="shared" si="2"/>
        <v>278.2</v>
      </c>
      <c r="M11" s="5">
        <f t="shared" si="3"/>
        <v>0.6874157303</v>
      </c>
      <c r="N11" s="6">
        <f t="shared" si="4"/>
        <v>43.7</v>
      </c>
    </row>
    <row r="12" ht="15.75" customHeight="1">
      <c r="A12" s="7" t="s">
        <v>26</v>
      </c>
      <c r="B12" s="7">
        <v>4.0</v>
      </c>
      <c r="C12" s="7" t="s">
        <v>22</v>
      </c>
      <c r="E12" s="4">
        <v>46060.0</v>
      </c>
      <c r="F12" s="4">
        <v>46074.0</v>
      </c>
      <c r="G12" s="7">
        <v>14.0</v>
      </c>
      <c r="H12" s="7">
        <v>890.0</v>
      </c>
      <c r="I12" s="7">
        <v>85.0</v>
      </c>
      <c r="J12" s="7">
        <f t="shared" si="5"/>
        <v>193.2</v>
      </c>
      <c r="K12" s="7">
        <f t="shared" si="1"/>
        <v>611.8</v>
      </c>
      <c r="L12" s="7">
        <f t="shared" si="2"/>
        <v>278.2</v>
      </c>
      <c r="M12" s="5">
        <f t="shared" si="3"/>
        <v>0.6874157303</v>
      </c>
      <c r="N12" s="6">
        <f t="shared" si="4"/>
        <v>43.7</v>
      </c>
    </row>
    <row r="13" ht="15.75" customHeight="1">
      <c r="A13" s="7" t="s">
        <v>27</v>
      </c>
      <c r="B13" s="7">
        <v>5.0</v>
      </c>
      <c r="C13" s="7" t="s">
        <v>28</v>
      </c>
      <c r="E13" s="4">
        <v>46074.0</v>
      </c>
      <c r="F13" s="4">
        <v>46077.0</v>
      </c>
      <c r="G13" s="7">
        <v>2.0</v>
      </c>
      <c r="H13" s="7">
        <v>185.0</v>
      </c>
      <c r="I13" s="7">
        <v>65.0</v>
      </c>
      <c r="J13" s="7">
        <f t="shared" si="5"/>
        <v>28.8</v>
      </c>
      <c r="K13" s="7">
        <f t="shared" si="1"/>
        <v>91.2</v>
      </c>
      <c r="L13" s="7">
        <f t="shared" si="2"/>
        <v>93.8</v>
      </c>
      <c r="M13" s="5">
        <f t="shared" si="3"/>
        <v>0.492972973</v>
      </c>
      <c r="N13" s="6">
        <f t="shared" si="4"/>
        <v>45.6</v>
      </c>
    </row>
    <row r="14" ht="15.75" customHeight="1">
      <c r="A14" s="7" t="s">
        <v>29</v>
      </c>
      <c r="B14" s="7">
        <v>4.0</v>
      </c>
      <c r="C14" s="7" t="s">
        <v>18</v>
      </c>
      <c r="E14" s="4">
        <v>46060.0</v>
      </c>
      <c r="F14" s="4">
        <v>46097.0</v>
      </c>
      <c r="G14" s="7">
        <v>10.0</v>
      </c>
      <c r="H14" s="7">
        <v>720.5</v>
      </c>
      <c r="I14" s="7">
        <v>85.0</v>
      </c>
      <c r="J14" s="7">
        <f t="shared" si="5"/>
        <v>152.52</v>
      </c>
      <c r="K14" s="7">
        <f t="shared" si="1"/>
        <v>482.98</v>
      </c>
      <c r="L14" s="7">
        <f t="shared" si="2"/>
        <v>237.52</v>
      </c>
      <c r="M14" s="5">
        <f t="shared" si="3"/>
        <v>0.6703400416</v>
      </c>
      <c r="N14" s="6">
        <f t="shared" si="4"/>
        <v>48.298</v>
      </c>
    </row>
    <row r="15" ht="15.75" customHeight="1">
      <c r="A15" s="7" t="s">
        <v>30</v>
      </c>
      <c r="B15" s="7">
        <v>4.0</v>
      </c>
      <c r="C15" s="7" t="s">
        <v>18</v>
      </c>
      <c r="E15" s="4">
        <v>46056.0</v>
      </c>
      <c r="F15" s="4">
        <v>46111.0</v>
      </c>
      <c r="G15" s="7">
        <v>7.0</v>
      </c>
      <c r="H15" s="7">
        <v>557.31</v>
      </c>
      <c r="I15" s="7">
        <v>85.0</v>
      </c>
      <c r="J15" s="7">
        <f t="shared" si="5"/>
        <v>113.3544</v>
      </c>
      <c r="K15" s="7">
        <f t="shared" si="1"/>
        <v>358.9556</v>
      </c>
      <c r="L15" s="7">
        <f t="shared" si="2"/>
        <v>198.3544</v>
      </c>
      <c r="M15" s="5">
        <f t="shared" si="3"/>
        <v>0.6440860562</v>
      </c>
      <c r="N15" s="6">
        <f t="shared" si="4"/>
        <v>51.27937143</v>
      </c>
    </row>
    <row r="16" ht="15.75" customHeight="1">
      <c r="A16" s="7" t="s">
        <v>31</v>
      </c>
      <c r="B16" s="7">
        <v>2.0</v>
      </c>
      <c r="C16" s="7" t="s">
        <v>18</v>
      </c>
      <c r="E16" s="4">
        <v>46043.0</v>
      </c>
      <c r="F16" s="4">
        <v>46137.0</v>
      </c>
      <c r="G16" s="7">
        <v>8.0</v>
      </c>
      <c r="H16" s="7">
        <v>638.14</v>
      </c>
      <c r="I16" s="7">
        <v>85.0</v>
      </c>
      <c r="J16" s="7">
        <f t="shared" si="5"/>
        <v>132.7536</v>
      </c>
      <c r="K16" s="7">
        <f t="shared" si="1"/>
        <v>420.3864</v>
      </c>
      <c r="L16" s="7">
        <f t="shared" si="2"/>
        <v>217.7536</v>
      </c>
      <c r="M16" s="5">
        <f t="shared" si="3"/>
        <v>0.6587682954</v>
      </c>
      <c r="N16" s="6">
        <f t="shared" si="4"/>
        <v>52.5483</v>
      </c>
    </row>
    <row r="17" ht="15.75" customHeight="1">
      <c r="A17" s="7" t="s">
        <v>32</v>
      </c>
      <c r="B17" s="7">
        <v>5.0</v>
      </c>
      <c r="C17" s="7" t="s">
        <v>22</v>
      </c>
      <c r="E17" s="4">
        <v>46082.0</v>
      </c>
      <c r="F17" s="4">
        <v>46112.0</v>
      </c>
      <c r="G17" s="7">
        <v>9.0</v>
      </c>
      <c r="H17" s="7">
        <v>715.0</v>
      </c>
      <c r="I17" s="7">
        <v>85.0</v>
      </c>
      <c r="J17" s="7">
        <f t="shared" si="5"/>
        <v>151.2</v>
      </c>
      <c r="K17" s="7">
        <f t="shared" si="1"/>
        <v>478.8</v>
      </c>
      <c r="L17" s="7">
        <f t="shared" si="2"/>
        <v>236.2</v>
      </c>
      <c r="M17" s="5">
        <f t="shared" si="3"/>
        <v>0.6696503497</v>
      </c>
      <c r="N17" s="6">
        <f t="shared" si="4"/>
        <v>53.2</v>
      </c>
    </row>
    <row r="18" ht="15.75" customHeight="1">
      <c r="A18" s="7" t="s">
        <v>33</v>
      </c>
      <c r="B18" s="7">
        <v>2.0</v>
      </c>
      <c r="C18" s="7" t="s">
        <v>18</v>
      </c>
      <c r="E18" s="4">
        <v>46037.0</v>
      </c>
      <c r="F18" s="4">
        <v>46154.0</v>
      </c>
      <c r="G18" s="7">
        <v>6.0</v>
      </c>
      <c r="H18" s="7">
        <v>598.26</v>
      </c>
      <c r="I18" s="7">
        <v>120.0</v>
      </c>
      <c r="J18" s="7">
        <f t="shared" si="5"/>
        <v>114.7824</v>
      </c>
      <c r="K18" s="7">
        <f t="shared" si="1"/>
        <v>363.4776</v>
      </c>
      <c r="L18" s="7">
        <f t="shared" si="2"/>
        <v>234.7824</v>
      </c>
      <c r="M18" s="5">
        <f t="shared" si="3"/>
        <v>0.607557918</v>
      </c>
      <c r="N18" s="6">
        <f t="shared" si="4"/>
        <v>60.5796</v>
      </c>
    </row>
    <row r="19" ht="15.75" customHeight="1">
      <c r="A19" s="7" t="s">
        <v>34</v>
      </c>
      <c r="B19" s="7">
        <v>2.0</v>
      </c>
      <c r="C19" s="7" t="s">
        <v>18</v>
      </c>
      <c r="E19" s="4">
        <v>46046.0</v>
      </c>
      <c r="F19" s="4">
        <v>46118.0</v>
      </c>
      <c r="G19" s="7">
        <v>12.0</v>
      </c>
      <c r="H19" s="7">
        <v>1043.15</v>
      </c>
      <c r="I19" s="7">
        <v>85.0</v>
      </c>
      <c r="J19" s="7">
        <f t="shared" si="5"/>
        <v>229.956</v>
      </c>
      <c r="K19" s="7">
        <f t="shared" si="1"/>
        <v>728.194</v>
      </c>
      <c r="L19" s="7">
        <f t="shared" si="2"/>
        <v>314.956</v>
      </c>
      <c r="M19" s="5">
        <f t="shared" si="3"/>
        <v>0.6980721852</v>
      </c>
      <c r="N19" s="6">
        <f t="shared" si="4"/>
        <v>60.68283333</v>
      </c>
    </row>
    <row r="20" ht="15.75" customHeight="1">
      <c r="A20" s="7" t="s">
        <v>35</v>
      </c>
      <c r="B20" s="7">
        <v>2.0</v>
      </c>
      <c r="C20" s="7" t="s">
        <v>18</v>
      </c>
      <c r="E20" s="4">
        <v>46108.0</v>
      </c>
      <c r="F20" s="4">
        <v>46146.0</v>
      </c>
      <c r="G20" s="7">
        <v>5.0</v>
      </c>
      <c r="H20" s="7">
        <v>523.9</v>
      </c>
      <c r="I20" s="7">
        <v>105.0</v>
      </c>
      <c r="J20" s="7">
        <f t="shared" si="5"/>
        <v>100.536</v>
      </c>
      <c r="K20" s="7">
        <f t="shared" si="1"/>
        <v>318.364</v>
      </c>
      <c r="L20" s="7">
        <f t="shared" si="2"/>
        <v>205.536</v>
      </c>
      <c r="M20" s="5">
        <f t="shared" si="3"/>
        <v>0.6076808551</v>
      </c>
      <c r="N20" s="6">
        <f t="shared" si="4"/>
        <v>63.6728</v>
      </c>
    </row>
    <row r="21" ht="15.75" customHeight="1">
      <c r="A21" s="7" t="s">
        <v>36</v>
      </c>
      <c r="B21" s="7">
        <v>4.0</v>
      </c>
      <c r="C21" s="7" t="s">
        <v>18</v>
      </c>
      <c r="E21" s="4">
        <v>46119.0</v>
      </c>
      <c r="F21" s="4">
        <v>46119.0</v>
      </c>
      <c r="G21" s="7">
        <v>4.0</v>
      </c>
      <c r="H21" s="7">
        <v>440.52</v>
      </c>
      <c r="I21" s="7">
        <v>105.0</v>
      </c>
      <c r="J21" s="7">
        <f t="shared" si="5"/>
        <v>80.5248</v>
      </c>
      <c r="K21" s="7">
        <f t="shared" si="1"/>
        <v>254.9952</v>
      </c>
      <c r="L21" s="7">
        <f t="shared" si="2"/>
        <v>185.5248</v>
      </c>
      <c r="M21" s="5">
        <f t="shared" si="3"/>
        <v>0.5788504495</v>
      </c>
      <c r="N21" s="6">
        <f t="shared" si="4"/>
        <v>63.7488</v>
      </c>
    </row>
    <row r="22" ht="15.75" customHeight="1">
      <c r="A22" s="7" t="s">
        <v>37</v>
      </c>
      <c r="B22" s="7">
        <v>5.0</v>
      </c>
      <c r="C22" s="7" t="s">
        <v>18</v>
      </c>
      <c r="E22" s="4">
        <v>46031.0</v>
      </c>
      <c r="F22" s="4">
        <v>46211.0</v>
      </c>
      <c r="G22" s="7">
        <v>14.0</v>
      </c>
      <c r="H22" s="7">
        <v>1260.83</v>
      </c>
      <c r="I22" s="7">
        <v>65.0</v>
      </c>
      <c r="J22" s="7">
        <f t="shared" si="5"/>
        <v>286.9992</v>
      </c>
      <c r="K22" s="7">
        <f t="shared" si="1"/>
        <v>908.8308</v>
      </c>
      <c r="L22" s="7">
        <f t="shared" si="2"/>
        <v>351.9992</v>
      </c>
      <c r="M22" s="5">
        <f t="shared" si="3"/>
        <v>0.7208194602</v>
      </c>
      <c r="N22" s="6">
        <f t="shared" si="4"/>
        <v>64.91648571</v>
      </c>
    </row>
    <row r="23" ht="15.75" customHeight="1">
      <c r="A23" s="7" t="s">
        <v>38</v>
      </c>
      <c r="B23" s="7">
        <v>2.0</v>
      </c>
      <c r="C23" s="7" t="s">
        <v>18</v>
      </c>
      <c r="E23" s="4">
        <v>46070.0</v>
      </c>
      <c r="F23" s="4">
        <v>46172.0</v>
      </c>
      <c r="G23" s="7">
        <v>7.0</v>
      </c>
      <c r="H23" s="7">
        <v>689.94</v>
      </c>
      <c r="I23" s="7">
        <v>85.0</v>
      </c>
      <c r="J23" s="7">
        <f t="shared" si="5"/>
        <v>145.1856</v>
      </c>
      <c r="K23" s="7">
        <f t="shared" si="1"/>
        <v>459.7544</v>
      </c>
      <c r="L23" s="7">
        <f t="shared" si="2"/>
        <v>230.1856</v>
      </c>
      <c r="M23" s="5">
        <f t="shared" si="3"/>
        <v>0.6663686697</v>
      </c>
      <c r="N23" s="6">
        <f t="shared" si="4"/>
        <v>65.6792</v>
      </c>
    </row>
    <row r="24" ht="15.75" customHeight="1">
      <c r="A24" s="7" t="s">
        <v>39</v>
      </c>
      <c r="B24" s="7">
        <v>2.0</v>
      </c>
      <c r="C24" s="7" t="s">
        <v>40</v>
      </c>
      <c r="E24" s="4">
        <v>46102.0</v>
      </c>
      <c r="F24" s="4">
        <v>46194.0</v>
      </c>
      <c r="G24" s="7">
        <v>7.0</v>
      </c>
      <c r="H24" s="7">
        <v>690.36</v>
      </c>
      <c r="I24" s="7">
        <v>85.0</v>
      </c>
      <c r="J24" s="7">
        <f t="shared" si="5"/>
        <v>145.2864</v>
      </c>
      <c r="K24" s="7">
        <f t="shared" si="1"/>
        <v>460.0736</v>
      </c>
      <c r="L24" s="7">
        <f t="shared" si="2"/>
        <v>230.2864</v>
      </c>
      <c r="M24" s="5">
        <f t="shared" si="3"/>
        <v>0.666425633</v>
      </c>
      <c r="N24" s="6">
        <f t="shared" si="4"/>
        <v>65.7248</v>
      </c>
    </row>
    <row r="25" ht="15.75" customHeight="1">
      <c r="A25" s="7" t="s">
        <v>41</v>
      </c>
      <c r="B25" s="7">
        <v>2.0</v>
      </c>
      <c r="C25" s="7" t="s">
        <v>18</v>
      </c>
      <c r="E25" s="4">
        <v>46125.0</v>
      </c>
      <c r="F25" s="4">
        <v>46164.0</v>
      </c>
      <c r="G25" s="7">
        <v>2.0</v>
      </c>
      <c r="H25" s="7">
        <v>287.3</v>
      </c>
      <c r="I25" s="7">
        <v>105.0</v>
      </c>
      <c r="J25" s="7">
        <f t="shared" si="5"/>
        <v>43.752</v>
      </c>
      <c r="K25" s="7">
        <f t="shared" si="1"/>
        <v>138.548</v>
      </c>
      <c r="L25" s="7">
        <f t="shared" si="2"/>
        <v>148.752</v>
      </c>
      <c r="M25" s="5">
        <f t="shared" si="3"/>
        <v>0.4822415593</v>
      </c>
      <c r="N25" s="6">
        <f t="shared" si="4"/>
        <v>69.274</v>
      </c>
    </row>
    <row r="26" ht="15.75" customHeight="1">
      <c r="A26" s="7" t="s">
        <v>42</v>
      </c>
      <c r="B26" s="7">
        <v>2.0</v>
      </c>
      <c r="C26" s="7" t="s">
        <v>18</v>
      </c>
      <c r="E26" s="4">
        <v>46070.0</v>
      </c>
      <c r="F26" s="4">
        <v>46130.0</v>
      </c>
      <c r="G26" s="7">
        <v>4.0</v>
      </c>
      <c r="H26" s="7">
        <v>460.52</v>
      </c>
      <c r="I26" s="7">
        <v>85.0</v>
      </c>
      <c r="J26" s="7">
        <f t="shared" si="5"/>
        <v>90.1248</v>
      </c>
      <c r="K26" s="7">
        <f t="shared" si="1"/>
        <v>285.3952</v>
      </c>
      <c r="L26" s="7">
        <f t="shared" si="2"/>
        <v>175.1248</v>
      </c>
      <c r="M26" s="5">
        <f t="shared" si="3"/>
        <v>0.6197237905</v>
      </c>
      <c r="N26" s="6">
        <f t="shared" si="4"/>
        <v>71.3488</v>
      </c>
    </row>
    <row r="27" ht="15.75" customHeight="1">
      <c r="A27" s="7" t="s">
        <v>43</v>
      </c>
      <c r="B27" s="7">
        <v>2.0</v>
      </c>
      <c r="C27" s="7" t="s">
        <v>40</v>
      </c>
      <c r="E27" s="4">
        <v>46102.0</v>
      </c>
      <c r="F27" s="4">
        <v>46229.0</v>
      </c>
      <c r="G27" s="7">
        <v>7.0</v>
      </c>
      <c r="H27" s="7">
        <v>780.0</v>
      </c>
      <c r="I27" s="7">
        <v>105.0</v>
      </c>
      <c r="J27" s="7">
        <f t="shared" si="5"/>
        <v>162</v>
      </c>
      <c r="K27" s="7">
        <f t="shared" si="1"/>
        <v>513</v>
      </c>
      <c r="L27" s="7">
        <f t="shared" si="2"/>
        <v>267</v>
      </c>
      <c r="M27" s="5">
        <f t="shared" si="3"/>
        <v>0.6576923077</v>
      </c>
      <c r="N27" s="6">
        <f t="shared" si="4"/>
        <v>73.28571429</v>
      </c>
    </row>
    <row r="28" ht="15.75" customHeight="1">
      <c r="A28" s="7" t="s">
        <v>44</v>
      </c>
      <c r="B28" s="7">
        <v>2.0</v>
      </c>
      <c r="C28" s="7" t="s">
        <v>18</v>
      </c>
      <c r="E28" s="4">
        <v>46036.0</v>
      </c>
      <c r="F28" s="4">
        <v>46240.0</v>
      </c>
      <c r="G28" s="7">
        <v>9.0</v>
      </c>
      <c r="H28" s="7">
        <v>1017.38</v>
      </c>
      <c r="I28" s="7">
        <v>120.0</v>
      </c>
      <c r="J28" s="7">
        <f t="shared" si="5"/>
        <v>215.3712</v>
      </c>
      <c r="K28" s="7">
        <f t="shared" si="1"/>
        <v>682.0088</v>
      </c>
      <c r="L28" s="7">
        <f t="shared" si="2"/>
        <v>335.3712</v>
      </c>
      <c r="M28" s="5">
        <f t="shared" si="3"/>
        <v>0.6703579783</v>
      </c>
      <c r="N28" s="6">
        <f t="shared" si="4"/>
        <v>75.77875556</v>
      </c>
    </row>
    <row r="29" ht="15.75" customHeight="1">
      <c r="A29" s="7" t="s">
        <v>43</v>
      </c>
      <c r="B29" s="7">
        <v>2.0</v>
      </c>
      <c r="C29" s="7" t="s">
        <v>40</v>
      </c>
      <c r="E29" s="4">
        <v>46102.0</v>
      </c>
      <c r="F29" s="4">
        <v>46180.0</v>
      </c>
      <c r="G29" s="7">
        <v>14.0</v>
      </c>
      <c r="H29" s="7">
        <v>1600.0</v>
      </c>
      <c r="I29" s="7">
        <v>105.0</v>
      </c>
      <c r="J29" s="7">
        <f t="shared" si="5"/>
        <v>358.8</v>
      </c>
      <c r="K29" s="7">
        <f t="shared" si="1"/>
        <v>1136.2</v>
      </c>
      <c r="L29" s="7">
        <f t="shared" si="2"/>
        <v>463.8</v>
      </c>
      <c r="M29" s="5">
        <f t="shared" si="3"/>
        <v>0.710125</v>
      </c>
      <c r="N29" s="6">
        <f t="shared" si="4"/>
        <v>81.15714286</v>
      </c>
    </row>
    <row r="30" ht="15.75" customHeight="1">
      <c r="A30" s="7" t="s">
        <v>43</v>
      </c>
      <c r="B30" s="7">
        <v>2.0</v>
      </c>
      <c r="C30" s="7" t="s">
        <v>40</v>
      </c>
      <c r="E30" s="4">
        <v>46102.0</v>
      </c>
      <c r="F30" s="4">
        <v>46222.0</v>
      </c>
      <c r="G30" s="7">
        <v>7.0</v>
      </c>
      <c r="H30" s="7">
        <v>890.0</v>
      </c>
      <c r="I30" s="7">
        <v>105.0</v>
      </c>
      <c r="J30" s="7">
        <f t="shared" si="5"/>
        <v>188.4</v>
      </c>
      <c r="K30" s="7">
        <f t="shared" si="1"/>
        <v>596.6</v>
      </c>
      <c r="L30" s="7">
        <f t="shared" si="2"/>
        <v>293.4</v>
      </c>
      <c r="M30" s="5">
        <f t="shared" si="3"/>
        <v>0.6703370787</v>
      </c>
      <c r="N30" s="6">
        <f t="shared" si="4"/>
        <v>85.22857143</v>
      </c>
    </row>
    <row r="31" ht="15.75" customHeight="1">
      <c r="A31" s="7" t="s">
        <v>45</v>
      </c>
      <c r="B31" s="7">
        <v>5.0</v>
      </c>
      <c r="C31" s="7" t="s">
        <v>18</v>
      </c>
      <c r="E31" s="4">
        <v>46124.0</v>
      </c>
      <c r="F31" s="4">
        <v>46239.0</v>
      </c>
      <c r="G31" s="7">
        <v>11.0</v>
      </c>
      <c r="H31" s="7">
        <v>1492.27</v>
      </c>
      <c r="I31" s="7">
        <v>85.0</v>
      </c>
      <c r="J31" s="7">
        <f t="shared" si="5"/>
        <v>337.7448</v>
      </c>
      <c r="K31" s="7">
        <f t="shared" si="1"/>
        <v>1069.5252</v>
      </c>
      <c r="L31" s="7">
        <f t="shared" si="2"/>
        <v>422.7448</v>
      </c>
      <c r="M31" s="5">
        <f t="shared" si="3"/>
        <v>0.7167102468</v>
      </c>
      <c r="N31" s="6">
        <f t="shared" si="4"/>
        <v>97.22956364</v>
      </c>
    </row>
    <row r="32" ht="15.75" customHeight="1">
      <c r="A32" s="7" t="s">
        <v>46</v>
      </c>
      <c r="B32" s="7">
        <v>2.0</v>
      </c>
      <c r="C32" s="7" t="s">
        <v>18</v>
      </c>
      <c r="E32" s="4">
        <v>46097.0</v>
      </c>
      <c r="F32" s="4">
        <v>46214.0</v>
      </c>
      <c r="G32" s="7">
        <v>7.0</v>
      </c>
      <c r="H32" s="7">
        <v>1013.83</v>
      </c>
      <c r="I32" s="7">
        <v>105.0</v>
      </c>
      <c r="J32" s="7">
        <f t="shared" si="5"/>
        <v>218.1192</v>
      </c>
      <c r="K32" s="7">
        <f t="shared" si="1"/>
        <v>690.7108</v>
      </c>
      <c r="L32" s="7">
        <f t="shared" si="2"/>
        <v>323.1192</v>
      </c>
      <c r="M32" s="5">
        <f t="shared" si="3"/>
        <v>0.681288579</v>
      </c>
      <c r="N32" s="6">
        <f t="shared" si="4"/>
        <v>98.67297143</v>
      </c>
    </row>
    <row r="33" ht="15.75" customHeight="1">
      <c r="A33" s="7" t="s">
        <v>47</v>
      </c>
      <c r="B33" s="7">
        <v>2.0</v>
      </c>
      <c r="C33" s="7" t="s">
        <v>18</v>
      </c>
      <c r="E33" s="4">
        <v>46047.0</v>
      </c>
      <c r="F33" s="4">
        <v>46249.0</v>
      </c>
      <c r="G33" s="7">
        <v>5.0</v>
      </c>
      <c r="H33" s="7">
        <v>790.07</v>
      </c>
      <c r="I33" s="7">
        <v>85.0</v>
      </c>
      <c r="J33" s="7">
        <f t="shared" si="5"/>
        <v>169.2168</v>
      </c>
      <c r="K33" s="7">
        <f t="shared" si="1"/>
        <v>535.8532</v>
      </c>
      <c r="L33" s="7">
        <f t="shared" si="2"/>
        <v>254.2168</v>
      </c>
      <c r="M33" s="5">
        <f t="shared" si="3"/>
        <v>0.6782350931</v>
      </c>
      <c r="N33" s="6">
        <f t="shared" si="4"/>
        <v>107.17064</v>
      </c>
    </row>
    <row r="34" ht="15.75" customHeight="1">
      <c r="A34" s="7" t="s">
        <v>48</v>
      </c>
      <c r="B34" s="7">
        <v>4.0</v>
      </c>
      <c r="C34" s="7" t="s">
        <v>18</v>
      </c>
      <c r="E34" s="4">
        <v>46099.0</v>
      </c>
      <c r="F34" s="4">
        <v>46211.0</v>
      </c>
      <c r="G34" s="7">
        <v>14.0</v>
      </c>
      <c r="H34" s="7">
        <v>2087.84</v>
      </c>
      <c r="I34" s="7">
        <v>105.0</v>
      </c>
      <c r="J34" s="7">
        <f t="shared" si="5"/>
        <v>475.8816</v>
      </c>
      <c r="K34" s="7">
        <f t="shared" si="1"/>
        <v>1506.9584</v>
      </c>
      <c r="L34" s="7">
        <f t="shared" si="2"/>
        <v>580.8816</v>
      </c>
      <c r="M34" s="5">
        <f t="shared" si="3"/>
        <v>0.7217786804</v>
      </c>
      <c r="N34" s="6">
        <f t="shared" si="4"/>
        <v>107.6398857</v>
      </c>
    </row>
    <row r="35" ht="15.75" customHeight="1">
      <c r="A35" s="7" t="s">
        <v>49</v>
      </c>
      <c r="B35" s="7">
        <v>0.0</v>
      </c>
      <c r="C35" s="7" t="s">
        <v>18</v>
      </c>
      <c r="E35" s="4">
        <v>46084.0</v>
      </c>
      <c r="F35" s="4">
        <v>46086.0</v>
      </c>
      <c r="G35" s="7">
        <v>4.0</v>
      </c>
      <c r="H35" s="7">
        <v>560.56</v>
      </c>
      <c r="I35" s="7">
        <v>85.0</v>
      </c>
      <c r="K35" s="7">
        <f t="shared" si="1"/>
        <v>475.56</v>
      </c>
      <c r="L35" s="7">
        <f t="shared" si="2"/>
        <v>85</v>
      </c>
      <c r="M35" s="5">
        <f t="shared" si="3"/>
        <v>0.8483659198</v>
      </c>
      <c r="N35" s="6">
        <f t="shared" si="4"/>
        <v>118.89</v>
      </c>
    </row>
    <row r="36" ht="15.75" customHeight="1">
      <c r="A36" s="7" t="s">
        <v>50</v>
      </c>
      <c r="B36" s="7">
        <v>0.0</v>
      </c>
      <c r="C36" s="7" t="s">
        <v>18</v>
      </c>
      <c r="E36" s="4">
        <v>46049.0</v>
      </c>
      <c r="F36" s="4">
        <v>46053.0</v>
      </c>
      <c r="G36" s="7">
        <v>1.0</v>
      </c>
      <c r="H36" s="7">
        <v>202.44</v>
      </c>
      <c r="I36" s="7">
        <v>80.0</v>
      </c>
      <c r="K36" s="7">
        <f t="shared" si="1"/>
        <v>122.44</v>
      </c>
      <c r="L36" s="7">
        <f t="shared" si="2"/>
        <v>80</v>
      </c>
      <c r="M36" s="5">
        <f t="shared" si="3"/>
        <v>0.6048211816</v>
      </c>
      <c r="N36" s="6">
        <f t="shared" si="4"/>
        <v>122.44</v>
      </c>
    </row>
    <row r="37" ht="15.75" customHeight="1">
      <c r="A37" s="7" t="s">
        <v>51</v>
      </c>
      <c r="B37" s="7">
        <v>0.0</v>
      </c>
      <c r="C37" s="7" t="s">
        <v>18</v>
      </c>
      <c r="E37" s="4">
        <v>46044.0</v>
      </c>
      <c r="F37" s="4">
        <v>46058.0</v>
      </c>
      <c r="G37" s="7">
        <v>1.0</v>
      </c>
      <c r="H37" s="7">
        <v>202.44</v>
      </c>
      <c r="I37" s="7">
        <v>80.0</v>
      </c>
      <c r="K37" s="7">
        <f t="shared" si="1"/>
        <v>122.44</v>
      </c>
      <c r="L37" s="7">
        <f t="shared" si="2"/>
        <v>80</v>
      </c>
      <c r="M37" s="5">
        <f t="shared" si="3"/>
        <v>0.6048211816</v>
      </c>
      <c r="N37" s="6">
        <f t="shared" si="4"/>
        <v>122.44</v>
      </c>
    </row>
    <row r="38" ht="15.75" customHeight="1">
      <c r="A38" s="7" t="s">
        <v>52</v>
      </c>
      <c r="B38" s="7">
        <v>0.0</v>
      </c>
      <c r="C38" s="7" t="s">
        <v>18</v>
      </c>
      <c r="E38" s="4">
        <v>46033.0</v>
      </c>
      <c r="F38" s="4">
        <v>46067.0</v>
      </c>
      <c r="G38" s="7">
        <v>1.0</v>
      </c>
      <c r="H38" s="7">
        <v>202.44</v>
      </c>
      <c r="I38" s="7">
        <v>80.0</v>
      </c>
      <c r="K38" s="7">
        <f t="shared" si="1"/>
        <v>122.44</v>
      </c>
      <c r="L38" s="7">
        <f t="shared" si="2"/>
        <v>80</v>
      </c>
      <c r="M38" s="5">
        <f t="shared" si="3"/>
        <v>0.6048211816</v>
      </c>
      <c r="N38" s="6">
        <f t="shared" si="4"/>
        <v>122.44</v>
      </c>
    </row>
    <row r="39" ht="15.75" customHeight="1">
      <c r="A39" s="7" t="s">
        <v>53</v>
      </c>
      <c r="B39" s="7">
        <v>0.0</v>
      </c>
      <c r="C39" s="7" t="s">
        <v>18</v>
      </c>
      <c r="E39" s="4">
        <v>46079.0</v>
      </c>
      <c r="F39" s="4">
        <v>46081.0</v>
      </c>
      <c r="G39" s="7">
        <v>1.0</v>
      </c>
      <c r="H39" s="7">
        <v>202.44</v>
      </c>
      <c r="I39" s="7">
        <v>80.0</v>
      </c>
      <c r="K39" s="7">
        <f t="shared" si="1"/>
        <v>122.44</v>
      </c>
      <c r="L39" s="7">
        <f t="shared" si="2"/>
        <v>80</v>
      </c>
      <c r="M39" s="5">
        <f t="shared" si="3"/>
        <v>0.6048211816</v>
      </c>
      <c r="N39" s="6">
        <f t="shared" si="4"/>
        <v>122.44</v>
      </c>
    </row>
    <row r="40" ht="15.75" customHeight="1">
      <c r="A40" s="7" t="s">
        <v>54</v>
      </c>
      <c r="B40" s="7">
        <v>4.0</v>
      </c>
      <c r="C40" s="7" t="s">
        <v>18</v>
      </c>
      <c r="E40" s="4">
        <v>46049.0</v>
      </c>
      <c r="F40" s="4">
        <v>46244.0</v>
      </c>
      <c r="G40" s="7">
        <v>3.0</v>
      </c>
      <c r="H40" s="7">
        <v>573.58</v>
      </c>
      <c r="I40" s="7">
        <v>85.0</v>
      </c>
      <c r="J40" s="7">
        <f>(H40-I40)*24%</f>
        <v>117.2592</v>
      </c>
      <c r="K40" s="7">
        <f t="shared" si="1"/>
        <v>371.3208</v>
      </c>
      <c r="L40" s="7">
        <f t="shared" si="2"/>
        <v>202.2592</v>
      </c>
      <c r="M40" s="5">
        <f t="shared" si="3"/>
        <v>0.6473740368</v>
      </c>
      <c r="N40" s="6">
        <f t="shared" si="4"/>
        <v>123.7736</v>
      </c>
    </row>
    <row r="41" ht="15.75" customHeight="1">
      <c r="A41" s="7" t="s">
        <v>49</v>
      </c>
      <c r="B41" s="7">
        <v>0.0</v>
      </c>
      <c r="C41" s="7" t="s">
        <v>18</v>
      </c>
      <c r="E41" s="4">
        <v>46122.0</v>
      </c>
      <c r="F41" s="4">
        <v>46125.0</v>
      </c>
      <c r="G41" s="7">
        <v>4.0</v>
      </c>
      <c r="H41" s="7">
        <v>732.64</v>
      </c>
      <c r="I41" s="7">
        <v>80.0</v>
      </c>
      <c r="K41" s="7">
        <f t="shared" si="1"/>
        <v>652.64</v>
      </c>
      <c r="L41" s="7">
        <f t="shared" si="2"/>
        <v>80</v>
      </c>
      <c r="M41" s="5">
        <f t="shared" si="3"/>
        <v>0.8908058528</v>
      </c>
      <c r="N41" s="6">
        <f t="shared" si="4"/>
        <v>163.16</v>
      </c>
    </row>
    <row r="42" ht="15.75" customHeight="1">
      <c r="A42" s="7" t="s">
        <v>49</v>
      </c>
      <c r="B42" s="7">
        <v>0.0</v>
      </c>
      <c r="C42" s="7" t="s">
        <v>18</v>
      </c>
      <c r="E42" s="4">
        <v>46126.0</v>
      </c>
      <c r="F42" s="4">
        <v>46132.0</v>
      </c>
      <c r="G42" s="7">
        <v>4.0</v>
      </c>
      <c r="H42" s="7">
        <v>732.64</v>
      </c>
      <c r="I42" s="7">
        <v>80.0</v>
      </c>
      <c r="K42" s="7">
        <f t="shared" si="1"/>
        <v>652.64</v>
      </c>
      <c r="L42" s="7">
        <f t="shared" si="2"/>
        <v>80</v>
      </c>
      <c r="M42" s="5">
        <f t="shared" si="3"/>
        <v>0.8908058528</v>
      </c>
      <c r="N42" s="6">
        <f t="shared" si="4"/>
        <v>163.16</v>
      </c>
    </row>
    <row r="43" ht="15.75" customHeight="1">
      <c r="A43" s="7" t="s">
        <v>49</v>
      </c>
      <c r="B43" s="7">
        <v>0.0</v>
      </c>
      <c r="C43" s="7" t="s">
        <v>18</v>
      </c>
      <c r="E43" s="4">
        <v>46113.0</v>
      </c>
      <c r="F43" s="4">
        <v>46119.0</v>
      </c>
      <c r="G43" s="7">
        <v>3.0</v>
      </c>
      <c r="H43" s="7">
        <v>694.08</v>
      </c>
      <c r="I43" s="7">
        <v>80.0</v>
      </c>
      <c r="K43" s="7">
        <f t="shared" si="1"/>
        <v>614.08</v>
      </c>
      <c r="L43" s="7">
        <f t="shared" si="2"/>
        <v>80</v>
      </c>
      <c r="M43" s="5">
        <f t="shared" si="3"/>
        <v>0.8847395113</v>
      </c>
      <c r="N43" s="6">
        <f t="shared" si="4"/>
        <v>204.6933333</v>
      </c>
    </row>
    <row r="44" ht="15.75" customHeight="1">
      <c r="A44" s="7" t="s">
        <v>34</v>
      </c>
      <c r="B44" s="7">
        <v>0.0</v>
      </c>
      <c r="C44" s="7" t="s">
        <v>18</v>
      </c>
      <c r="E44" s="4">
        <v>46067.0</v>
      </c>
      <c r="F44" s="4">
        <v>46230.0</v>
      </c>
      <c r="G44" s="7">
        <v>8.0</v>
      </c>
      <c r="H44" s="7">
        <v>2024.88</v>
      </c>
      <c r="I44" s="7">
        <v>120.0</v>
      </c>
      <c r="K44" s="7">
        <f t="shared" si="1"/>
        <v>1904.88</v>
      </c>
      <c r="L44" s="7">
        <f t="shared" si="2"/>
        <v>120</v>
      </c>
      <c r="M44" s="5">
        <f t="shared" si="3"/>
        <v>0.9407372289</v>
      </c>
      <c r="N44" s="6">
        <f t="shared" si="4"/>
        <v>238.11</v>
      </c>
    </row>
    <row r="45" ht="15.75" customHeight="1">
      <c r="A45" s="7" t="s">
        <v>55</v>
      </c>
      <c r="B45" s="7">
        <v>0.0</v>
      </c>
      <c r="C45" s="7" t="s">
        <v>56</v>
      </c>
      <c r="E45" s="4">
        <v>46096.0</v>
      </c>
      <c r="F45" s="4">
        <v>46150.0</v>
      </c>
      <c r="G45" s="7">
        <v>2.0</v>
      </c>
      <c r="H45" s="7">
        <v>616.96</v>
      </c>
      <c r="I45" s="7">
        <v>120.0</v>
      </c>
      <c r="K45" s="7">
        <f t="shared" si="1"/>
        <v>496.96</v>
      </c>
      <c r="L45" s="7">
        <f t="shared" si="2"/>
        <v>120</v>
      </c>
      <c r="M45" s="5">
        <f t="shared" si="3"/>
        <v>0.8054979253</v>
      </c>
      <c r="N45" s="6">
        <f t="shared" si="4"/>
        <v>248.48</v>
      </c>
    </row>
    <row r="46" ht="15.75" customHeight="1">
      <c r="A46" s="7" t="s">
        <v>57</v>
      </c>
      <c r="B46" s="7">
        <v>0.0</v>
      </c>
      <c r="C46" s="7" t="s">
        <v>18</v>
      </c>
      <c r="E46" s="4">
        <v>46021.0</v>
      </c>
      <c r="F46" s="4">
        <v>46206.0</v>
      </c>
      <c r="G46" s="7">
        <v>2.0</v>
      </c>
      <c r="H46" s="7">
        <v>616.96</v>
      </c>
      <c r="I46" s="7">
        <v>120.0</v>
      </c>
      <c r="K46" s="7">
        <f t="shared" si="1"/>
        <v>496.96</v>
      </c>
      <c r="L46" s="7">
        <f t="shared" si="2"/>
        <v>120</v>
      </c>
      <c r="M46" s="5">
        <f t="shared" si="3"/>
        <v>0.8054979253</v>
      </c>
      <c r="N46" s="6">
        <f t="shared" si="4"/>
        <v>248.48</v>
      </c>
    </row>
    <row r="47" ht="15.75" customHeight="1">
      <c r="A47" s="7" t="s">
        <v>58</v>
      </c>
      <c r="B47" s="7">
        <v>0.0</v>
      </c>
      <c r="C47" s="7" t="s">
        <v>18</v>
      </c>
      <c r="E47" s="4">
        <v>46070.0</v>
      </c>
      <c r="F47" s="4">
        <v>46242.0</v>
      </c>
      <c r="G47" s="7">
        <v>7.0</v>
      </c>
      <c r="H47" s="7">
        <v>1893.77</v>
      </c>
      <c r="I47" s="7">
        <v>120.0</v>
      </c>
      <c r="K47" s="7">
        <f t="shared" si="1"/>
        <v>1773.77</v>
      </c>
      <c r="L47" s="7">
        <f t="shared" si="2"/>
        <v>120</v>
      </c>
      <c r="M47" s="5">
        <f t="shared" si="3"/>
        <v>0.9366343326</v>
      </c>
      <c r="N47" s="6">
        <f t="shared" si="4"/>
        <v>253.3957143</v>
      </c>
    </row>
    <row r="48" ht="15.75" customHeight="1">
      <c r="A48" s="7" t="s">
        <v>59</v>
      </c>
      <c r="B48" s="7">
        <v>0.0</v>
      </c>
      <c r="C48" s="7" t="s">
        <v>18</v>
      </c>
      <c r="E48" s="4">
        <v>46092.0</v>
      </c>
      <c r="F48" s="4">
        <v>46116.0</v>
      </c>
      <c r="G48" s="7">
        <v>2.0</v>
      </c>
      <c r="H48" s="7">
        <v>621.78</v>
      </c>
      <c r="I48" s="7">
        <v>85.0</v>
      </c>
      <c r="K48" s="7">
        <f t="shared" si="1"/>
        <v>536.78</v>
      </c>
      <c r="L48" s="7">
        <f t="shared" si="2"/>
        <v>85</v>
      </c>
      <c r="M48" s="5">
        <f t="shared" si="3"/>
        <v>0.8632956994</v>
      </c>
      <c r="N48" s="6">
        <f t="shared" si="4"/>
        <v>268.39</v>
      </c>
    </row>
    <row r="49" ht="15.75" customHeight="1">
      <c r="A49" s="7" t="s">
        <v>60</v>
      </c>
      <c r="B49" s="7">
        <v>0.0</v>
      </c>
      <c r="C49" s="7" t="s">
        <v>28</v>
      </c>
      <c r="E49" s="4">
        <v>46027.0</v>
      </c>
      <c r="F49" s="4">
        <v>46143.0</v>
      </c>
      <c r="G49" s="7">
        <v>2.0</v>
      </c>
      <c r="H49" s="7">
        <v>706.4</v>
      </c>
      <c r="I49" s="7">
        <v>120.0</v>
      </c>
      <c r="K49" s="7">
        <f t="shared" si="1"/>
        <v>586.4</v>
      </c>
      <c r="L49" s="7">
        <f t="shared" si="2"/>
        <v>120</v>
      </c>
      <c r="M49" s="5">
        <f t="shared" si="3"/>
        <v>0.8301245753</v>
      </c>
      <c r="N49" s="6">
        <f t="shared" si="4"/>
        <v>293.2</v>
      </c>
    </row>
    <row r="50" ht="15.75" customHeight="1">
      <c r="A50" s="7" t="s">
        <v>35</v>
      </c>
      <c r="B50" s="7">
        <v>0.0</v>
      </c>
      <c r="C50" s="7" t="s">
        <v>56</v>
      </c>
      <c r="E50" s="4">
        <v>46068.0</v>
      </c>
      <c r="F50" s="4">
        <v>46165.0</v>
      </c>
      <c r="G50" s="7">
        <v>2.0</v>
      </c>
      <c r="H50" s="7">
        <v>667.4</v>
      </c>
      <c r="I50" s="7">
        <v>80.0</v>
      </c>
      <c r="K50" s="7">
        <f t="shared" si="1"/>
        <v>587.4</v>
      </c>
      <c r="L50" s="7">
        <f t="shared" si="2"/>
        <v>80</v>
      </c>
      <c r="M50" s="5">
        <f t="shared" si="3"/>
        <v>0.880131855</v>
      </c>
      <c r="N50" s="6">
        <f t="shared" si="4"/>
        <v>293.7</v>
      </c>
    </row>
    <row r="51" ht="15.75" customHeight="1">
      <c r="A51" s="7" t="s">
        <v>61</v>
      </c>
      <c r="B51" s="7">
        <v>0.0</v>
      </c>
      <c r="C51" s="7" t="s">
        <v>56</v>
      </c>
      <c r="E51" s="4">
        <v>46068.0</v>
      </c>
      <c r="F51" s="4">
        <v>46155.0</v>
      </c>
      <c r="G51" s="7">
        <v>4.0</v>
      </c>
      <c r="H51" s="7">
        <v>1292.8</v>
      </c>
      <c r="I51" s="7">
        <v>80.0</v>
      </c>
      <c r="K51" s="7">
        <f t="shared" si="1"/>
        <v>1212.8</v>
      </c>
      <c r="L51" s="7">
        <f t="shared" si="2"/>
        <v>80</v>
      </c>
      <c r="M51" s="5">
        <f t="shared" si="3"/>
        <v>0.9381188119</v>
      </c>
      <c r="N51" s="6">
        <f t="shared" si="4"/>
        <v>303.2</v>
      </c>
    </row>
    <row r="52" ht="15.75" customHeight="1">
      <c r="A52" s="7" t="s">
        <v>62</v>
      </c>
      <c r="B52" s="7">
        <v>2.0</v>
      </c>
      <c r="C52" s="7" t="s">
        <v>18</v>
      </c>
      <c r="E52" s="4">
        <v>46134.0</v>
      </c>
      <c r="F52" s="4">
        <v>46237.0</v>
      </c>
      <c r="G52" s="7">
        <v>3.0</v>
      </c>
      <c r="H52" s="7">
        <v>621.07</v>
      </c>
      <c r="I52" s="7">
        <v>105.0</v>
      </c>
      <c r="J52" s="7">
        <f t="shared" ref="J52:J54" si="6">(H52-I52)*24%</f>
        <v>123.8568</v>
      </c>
      <c r="K52" s="7">
        <f t="shared" si="1"/>
        <v>392.2132</v>
      </c>
      <c r="L52" s="7">
        <f t="shared" si="2"/>
        <v>228.8568</v>
      </c>
      <c r="M52" s="5">
        <f t="shared" si="3"/>
        <v>0.6315120679</v>
      </c>
      <c r="N52" s="6">
        <f t="shared" si="4"/>
        <v>130.7377333</v>
      </c>
    </row>
    <row r="53" ht="15.75" customHeight="1">
      <c r="A53" s="7" t="s">
        <v>63</v>
      </c>
      <c r="B53" s="7">
        <v>4.0</v>
      </c>
      <c r="C53" s="7" t="s">
        <v>18</v>
      </c>
      <c r="E53" s="4">
        <v>46132.0</v>
      </c>
      <c r="F53" s="4">
        <v>46133.0</v>
      </c>
      <c r="G53" s="7">
        <v>3.0</v>
      </c>
      <c r="H53" s="7">
        <v>332.58</v>
      </c>
      <c r="I53" s="7">
        <v>105.0</v>
      </c>
      <c r="J53" s="7">
        <f t="shared" si="6"/>
        <v>54.6192</v>
      </c>
      <c r="K53" s="7">
        <f t="shared" si="1"/>
        <v>172.9608</v>
      </c>
      <c r="L53" s="7">
        <f t="shared" si="2"/>
        <v>159.6192</v>
      </c>
      <c r="M53" s="5">
        <f t="shared" si="3"/>
        <v>0.5200577305</v>
      </c>
      <c r="N53" s="6">
        <f t="shared" si="4"/>
        <v>57.6536</v>
      </c>
    </row>
    <row r="54" ht="15.75" customHeight="1">
      <c r="A54" s="7" t="s">
        <v>64</v>
      </c>
      <c r="B54" s="7">
        <v>2.0</v>
      </c>
      <c r="C54" s="7" t="s">
        <v>18</v>
      </c>
      <c r="E54" s="4">
        <v>46131.0</v>
      </c>
      <c r="F54" s="4">
        <v>46134.0</v>
      </c>
      <c r="G54" s="7">
        <v>2.0</v>
      </c>
      <c r="H54" s="7">
        <v>283.07</v>
      </c>
      <c r="I54" s="7">
        <v>105.0</v>
      </c>
      <c r="J54" s="7">
        <f t="shared" si="6"/>
        <v>42.7368</v>
      </c>
      <c r="K54" s="7">
        <f t="shared" si="1"/>
        <v>135.3332</v>
      </c>
      <c r="L54" s="7">
        <f t="shared" si="2"/>
        <v>147.7368</v>
      </c>
      <c r="M54" s="5">
        <f t="shared" si="3"/>
        <v>0.4780909316</v>
      </c>
      <c r="N54" s="6">
        <f t="shared" si="4"/>
        <v>67.6666</v>
      </c>
    </row>
    <row r="55" ht="15.75" customHeight="1">
      <c r="A55" s="7" t="s">
        <v>65</v>
      </c>
      <c r="B55" s="7">
        <v>0.0</v>
      </c>
      <c r="C55" s="7" t="s">
        <v>18</v>
      </c>
      <c r="E55" s="4">
        <v>46128.0</v>
      </c>
      <c r="F55" s="4">
        <v>46214.0</v>
      </c>
      <c r="G55" s="7">
        <v>7.0</v>
      </c>
      <c r="H55" s="7">
        <v>1512.52</v>
      </c>
      <c r="I55" s="7">
        <v>120.0</v>
      </c>
      <c r="K55" s="7">
        <f t="shared" si="1"/>
        <v>1392.52</v>
      </c>
      <c r="L55" s="7">
        <f t="shared" si="2"/>
        <v>120</v>
      </c>
      <c r="M55" s="5">
        <f t="shared" si="3"/>
        <v>0.9206622061</v>
      </c>
      <c r="N55" s="6">
        <f t="shared" si="4"/>
        <v>198.9314286</v>
      </c>
    </row>
    <row r="56" ht="15.75" customHeight="1">
      <c r="A56" s="7" t="s">
        <v>66</v>
      </c>
      <c r="B56" s="7">
        <v>0.0</v>
      </c>
      <c r="C56" s="7" t="s">
        <v>56</v>
      </c>
      <c r="E56" s="4">
        <v>46132.0</v>
      </c>
      <c r="F56" s="4">
        <v>46223.0</v>
      </c>
      <c r="G56" s="7">
        <v>6.0</v>
      </c>
      <c r="H56" s="7">
        <v>1672.8</v>
      </c>
      <c r="I56" s="7">
        <v>120.0</v>
      </c>
      <c r="K56" s="7">
        <f t="shared" si="1"/>
        <v>1552.8</v>
      </c>
      <c r="L56" s="7">
        <f t="shared" si="2"/>
        <v>120</v>
      </c>
      <c r="M56" s="5">
        <f t="shared" si="3"/>
        <v>0.9282639885</v>
      </c>
      <c r="N56" s="6">
        <f t="shared" si="4"/>
        <v>258.8</v>
      </c>
    </row>
    <row r="57" ht="15.75" customHeight="1">
      <c r="A57" s="7" t="s">
        <v>49</v>
      </c>
      <c r="B57" s="7">
        <v>0.0</v>
      </c>
      <c r="C57" s="7" t="s">
        <v>18</v>
      </c>
      <c r="E57" s="4">
        <v>46134.0</v>
      </c>
      <c r="F57" s="4">
        <v>46139.0</v>
      </c>
      <c r="G57" s="7">
        <v>3.0</v>
      </c>
      <c r="H57" s="7">
        <v>665.16</v>
      </c>
      <c r="I57" s="7">
        <v>80.0</v>
      </c>
      <c r="K57" s="7">
        <f t="shared" si="1"/>
        <v>585.16</v>
      </c>
      <c r="L57" s="7">
        <f t="shared" si="2"/>
        <v>80</v>
      </c>
      <c r="M57" s="5">
        <f t="shared" si="3"/>
        <v>0.8797281857</v>
      </c>
      <c r="N57" s="6">
        <f t="shared" si="4"/>
        <v>195.0533333</v>
      </c>
    </row>
    <row r="58" ht="15.75" customHeight="1">
      <c r="A58" s="8" t="s">
        <v>49</v>
      </c>
      <c r="B58" s="8">
        <v>0.0</v>
      </c>
      <c r="C58" s="8" t="s">
        <v>67</v>
      </c>
      <c r="E58" s="9">
        <v>46142.0</v>
      </c>
      <c r="F58" s="10">
        <v>46146.0</v>
      </c>
      <c r="G58" s="8">
        <v>3.0</v>
      </c>
      <c r="H58" s="8">
        <v>665.16</v>
      </c>
      <c r="I58" s="8">
        <v>80.0</v>
      </c>
      <c r="K58" s="7">
        <f t="shared" ref="K58:K59" si="7">H58-I58</f>
        <v>585.16</v>
      </c>
      <c r="L58" s="7">
        <f t="shared" si="2"/>
        <v>80</v>
      </c>
      <c r="M58" s="5">
        <f t="shared" si="3"/>
        <v>0.8797281857</v>
      </c>
      <c r="N58" s="6">
        <f t="shared" si="4"/>
        <v>195.0533333</v>
      </c>
    </row>
    <row r="59" ht="15.75" customHeight="1">
      <c r="A59" s="8" t="s">
        <v>68</v>
      </c>
      <c r="B59" s="8">
        <v>0.0</v>
      </c>
      <c r="C59" s="8" t="s">
        <v>18</v>
      </c>
      <c r="E59" s="10">
        <v>46145.0</v>
      </c>
      <c r="F59" s="10">
        <v>46251.0</v>
      </c>
      <c r="G59" s="8">
        <v>6.0</v>
      </c>
      <c r="H59" s="8">
        <v>1685.46</v>
      </c>
      <c r="I59" s="8">
        <v>120.0</v>
      </c>
      <c r="K59" s="7">
        <f t="shared" si="7"/>
        <v>1565.46</v>
      </c>
      <c r="L59" s="8">
        <v>120.0</v>
      </c>
      <c r="M59" s="5">
        <f t="shared" si="3"/>
        <v>0.9288028194</v>
      </c>
      <c r="N59" s="6">
        <f t="shared" si="4"/>
        <v>260.91</v>
      </c>
    </row>
    <row r="60" ht="15.75" customHeight="1">
      <c r="A60" s="11" t="s">
        <v>69</v>
      </c>
      <c r="B60" s="8">
        <v>5.0</v>
      </c>
      <c r="C60" s="8" t="s">
        <v>18</v>
      </c>
      <c r="E60" s="10">
        <v>46150.0</v>
      </c>
      <c r="F60" s="9">
        <v>46150.0</v>
      </c>
      <c r="G60" s="8">
        <v>2.0</v>
      </c>
      <c r="H60" s="8">
        <v>178.34</v>
      </c>
      <c r="I60" s="8">
        <v>65.0</v>
      </c>
      <c r="J60" s="7">
        <f t="shared" ref="J60:J69" si="8">(H60-I60)*24%</f>
        <v>27.2016</v>
      </c>
      <c r="K60" s="7">
        <f>H60-I60-J60</f>
        <v>86.1384</v>
      </c>
      <c r="L60" s="7">
        <f>SUM(I60:J60)</f>
        <v>92.2016</v>
      </c>
      <c r="M60" s="5">
        <f t="shared" si="3"/>
        <v>0.4830010093</v>
      </c>
      <c r="N60" s="6">
        <f t="shared" si="4"/>
        <v>43.0692</v>
      </c>
    </row>
    <row r="61" ht="15.75" customHeight="1">
      <c r="A61" s="8" t="s">
        <v>70</v>
      </c>
      <c r="B61" s="8">
        <v>4.0</v>
      </c>
      <c r="C61" s="8" t="s">
        <v>18</v>
      </c>
      <c r="E61" s="10">
        <v>46150.0</v>
      </c>
      <c r="F61" s="10">
        <v>46156.0</v>
      </c>
      <c r="G61" s="8">
        <v>3.0</v>
      </c>
      <c r="H61" s="8">
        <v>375.96</v>
      </c>
      <c r="I61" s="8">
        <v>105.0</v>
      </c>
      <c r="J61" s="7">
        <f t="shared" si="8"/>
        <v>65.0304</v>
      </c>
      <c r="K61" s="7">
        <f>H61-I61</f>
        <v>270.96</v>
      </c>
      <c r="N61" s="6"/>
    </row>
    <row r="62" ht="15.75" customHeight="1">
      <c r="A62" s="8" t="s">
        <v>71</v>
      </c>
      <c r="B62" s="8">
        <v>5.0</v>
      </c>
      <c r="C62" s="8" t="s">
        <v>18</v>
      </c>
      <c r="E62" s="10">
        <v>46150.0</v>
      </c>
      <c r="F62" s="10">
        <v>46186.0</v>
      </c>
      <c r="G62" s="8">
        <v>7.0</v>
      </c>
      <c r="H62" s="8">
        <v>466.86</v>
      </c>
      <c r="I62" s="8">
        <v>85.0</v>
      </c>
      <c r="J62" s="7">
        <f t="shared" si="8"/>
        <v>91.6464</v>
      </c>
      <c r="K62" s="7">
        <f t="shared" ref="K62:K69" si="9">H62-I62-J62</f>
        <v>290.2136</v>
      </c>
      <c r="L62" s="7">
        <f t="shared" ref="L62:L69" si="10">SUM(I62:J62)</f>
        <v>176.6464</v>
      </c>
      <c r="M62" s="5">
        <f t="shared" ref="M62:M69" si="11">(H62-L62)/H62</f>
        <v>0.6216287538</v>
      </c>
      <c r="N62" s="6">
        <f t="shared" ref="N62:N69" si="12">K62/G62</f>
        <v>41.45908571</v>
      </c>
    </row>
    <row r="63" ht="15.75" customHeight="1">
      <c r="A63" s="8" t="s">
        <v>72</v>
      </c>
      <c r="B63" s="8">
        <v>5.0</v>
      </c>
      <c r="C63" s="8" t="s">
        <v>18</v>
      </c>
      <c r="E63" s="9">
        <v>46152.0</v>
      </c>
      <c r="F63" s="10">
        <v>46225.0</v>
      </c>
      <c r="G63" s="8">
        <v>12.0</v>
      </c>
      <c r="H63" s="8">
        <v>1574.69</v>
      </c>
      <c r="I63" s="8">
        <v>85.0</v>
      </c>
      <c r="J63" s="7">
        <f t="shared" si="8"/>
        <v>357.5256</v>
      </c>
      <c r="K63" s="7">
        <f t="shared" si="9"/>
        <v>1132.1644</v>
      </c>
      <c r="L63" s="7">
        <f t="shared" si="10"/>
        <v>442.5256</v>
      </c>
      <c r="M63" s="5">
        <f t="shared" si="11"/>
        <v>0.7189760524</v>
      </c>
      <c r="N63" s="6">
        <f t="shared" si="12"/>
        <v>94.34703333</v>
      </c>
    </row>
    <row r="64" ht="15.75" customHeight="1">
      <c r="A64" s="8" t="s">
        <v>73</v>
      </c>
      <c r="B64" s="8">
        <v>4.0</v>
      </c>
      <c r="C64" s="8" t="s">
        <v>18</v>
      </c>
      <c r="E64" s="10">
        <v>46152.0</v>
      </c>
      <c r="F64" s="10">
        <v>46233.0</v>
      </c>
      <c r="G64" s="8">
        <v>8.0</v>
      </c>
      <c r="H64" s="8">
        <v>1264.19</v>
      </c>
      <c r="I64" s="8">
        <v>105.0</v>
      </c>
      <c r="J64" s="7">
        <f t="shared" si="8"/>
        <v>278.2056</v>
      </c>
      <c r="K64" s="7">
        <f t="shared" si="9"/>
        <v>880.9844</v>
      </c>
      <c r="L64" s="7">
        <f t="shared" si="10"/>
        <v>383.2056</v>
      </c>
      <c r="M64" s="5">
        <f t="shared" si="11"/>
        <v>0.6968765771</v>
      </c>
      <c r="N64" s="6">
        <f t="shared" si="12"/>
        <v>110.12305</v>
      </c>
    </row>
    <row r="65" ht="15.75" customHeight="1">
      <c r="A65" s="8" t="s">
        <v>74</v>
      </c>
      <c r="B65" s="8">
        <v>4.0</v>
      </c>
      <c r="C65" s="8" t="s">
        <v>18</v>
      </c>
      <c r="E65" s="10">
        <v>46159.0</v>
      </c>
      <c r="F65" s="10">
        <v>46225.0</v>
      </c>
      <c r="G65" s="8">
        <v>8.0</v>
      </c>
      <c r="H65" s="8">
        <v>1236.42</v>
      </c>
      <c r="I65" s="8">
        <v>105.0</v>
      </c>
      <c r="J65" s="7">
        <f t="shared" si="8"/>
        <v>271.5408</v>
      </c>
      <c r="K65" s="7">
        <f t="shared" si="9"/>
        <v>859.8792</v>
      </c>
      <c r="L65" s="7">
        <f t="shared" si="10"/>
        <v>376.5408</v>
      </c>
      <c r="M65" s="5">
        <f t="shared" si="11"/>
        <v>0.6954588247</v>
      </c>
      <c r="N65" s="6">
        <f t="shared" si="12"/>
        <v>107.4849</v>
      </c>
    </row>
    <row r="66" ht="15.75" customHeight="1">
      <c r="A66" s="8" t="s">
        <v>71</v>
      </c>
      <c r="B66" s="8">
        <v>4.0</v>
      </c>
      <c r="C66" s="8" t="s">
        <v>18</v>
      </c>
      <c r="E66" s="10">
        <v>46161.0</v>
      </c>
      <c r="F66" s="10">
        <v>46165.0</v>
      </c>
      <c r="G66" s="8">
        <v>2.0</v>
      </c>
      <c r="H66" s="8">
        <v>232.32</v>
      </c>
      <c r="I66" s="8">
        <v>105.0</v>
      </c>
      <c r="J66" s="7">
        <f t="shared" si="8"/>
        <v>30.5568</v>
      </c>
      <c r="K66" s="7">
        <f t="shared" si="9"/>
        <v>96.7632</v>
      </c>
      <c r="L66" s="7">
        <f t="shared" si="10"/>
        <v>135.5568</v>
      </c>
      <c r="M66" s="5">
        <f t="shared" si="11"/>
        <v>0.4165082645</v>
      </c>
      <c r="N66" s="6">
        <f t="shared" si="12"/>
        <v>48.3816</v>
      </c>
    </row>
    <row r="67" ht="15.75" customHeight="1">
      <c r="A67" s="8" t="s">
        <v>75</v>
      </c>
      <c r="B67" s="8">
        <v>2.0</v>
      </c>
      <c r="C67" s="8" t="s">
        <v>18</v>
      </c>
      <c r="E67" s="10">
        <v>46162.0</v>
      </c>
      <c r="F67" s="10">
        <v>46167.0</v>
      </c>
      <c r="G67" s="8">
        <v>2.0</v>
      </c>
      <c r="H67" s="8">
        <v>220.54</v>
      </c>
      <c r="I67" s="8">
        <v>105.0</v>
      </c>
      <c r="J67" s="7">
        <f t="shared" si="8"/>
        <v>27.7296</v>
      </c>
      <c r="K67" s="7">
        <f t="shared" si="9"/>
        <v>87.8104</v>
      </c>
      <c r="L67" s="7">
        <f t="shared" si="10"/>
        <v>132.7296</v>
      </c>
      <c r="M67" s="5">
        <f t="shared" si="11"/>
        <v>0.3981608778</v>
      </c>
      <c r="N67" s="6">
        <f t="shared" si="12"/>
        <v>43.9052</v>
      </c>
    </row>
    <row r="68" ht="15.75" customHeight="1">
      <c r="A68" s="11" t="s">
        <v>76</v>
      </c>
      <c r="B68" s="11">
        <v>5.0</v>
      </c>
      <c r="C68" s="8" t="s">
        <v>18</v>
      </c>
      <c r="E68" s="12">
        <v>46165.0</v>
      </c>
      <c r="F68" s="12">
        <v>46165.0</v>
      </c>
      <c r="G68" s="11">
        <v>3.0</v>
      </c>
      <c r="H68" s="11">
        <v>168.7</v>
      </c>
      <c r="I68" s="11">
        <v>65.0</v>
      </c>
      <c r="J68" s="7">
        <f t="shared" si="8"/>
        <v>24.888</v>
      </c>
      <c r="K68" s="7">
        <f t="shared" si="9"/>
        <v>78.812</v>
      </c>
      <c r="L68" s="7">
        <f t="shared" si="10"/>
        <v>89.888</v>
      </c>
      <c r="M68" s="5">
        <f t="shared" si="11"/>
        <v>0.4671724956</v>
      </c>
      <c r="N68" s="6">
        <f t="shared" si="12"/>
        <v>26.27066667</v>
      </c>
    </row>
    <row r="69" ht="15.75" customHeight="1">
      <c r="A69" s="8" t="s">
        <v>77</v>
      </c>
      <c r="B69" s="8">
        <v>4.0</v>
      </c>
      <c r="C69" s="8" t="s">
        <v>18</v>
      </c>
      <c r="E69" s="10">
        <v>46168.0</v>
      </c>
      <c r="F69" s="10">
        <v>46168.0</v>
      </c>
      <c r="G69" s="8">
        <v>9.0</v>
      </c>
      <c r="H69" s="8">
        <v>557.06</v>
      </c>
      <c r="I69" s="8">
        <v>105.0</v>
      </c>
      <c r="J69" s="7">
        <f t="shared" si="8"/>
        <v>108.4944</v>
      </c>
      <c r="K69" s="7">
        <f t="shared" si="9"/>
        <v>343.5656</v>
      </c>
      <c r="L69" s="7">
        <f t="shared" si="10"/>
        <v>213.4944</v>
      </c>
      <c r="M69" s="5">
        <f t="shared" si="11"/>
        <v>0.6167479266</v>
      </c>
      <c r="N69" s="6">
        <f t="shared" si="12"/>
        <v>38.17395556</v>
      </c>
    </row>
    <row r="70" ht="15.75" customHeight="1">
      <c r="C70" s="7"/>
      <c r="N70" s="6"/>
    </row>
    <row r="71" ht="15.75" customHeight="1">
      <c r="C71" s="7"/>
      <c r="N71" s="6"/>
    </row>
    <row r="72" ht="15.75" customHeight="1">
      <c r="C72" s="7"/>
      <c r="N72" s="6"/>
    </row>
    <row r="73" ht="15.75" customHeight="1">
      <c r="C73" s="7"/>
      <c r="N73" s="6"/>
    </row>
    <row r="74" ht="15.75" customHeight="1">
      <c r="C74" s="7"/>
      <c r="N74" s="6"/>
    </row>
    <row r="75" ht="15.75" customHeight="1">
      <c r="C75" s="7"/>
      <c r="N75" s="6"/>
    </row>
    <row r="76" ht="15.75" customHeight="1">
      <c r="C76" s="7"/>
      <c r="N76" s="6"/>
    </row>
    <row r="77" ht="15.75" customHeight="1">
      <c r="C77" s="7"/>
      <c r="N77" s="6"/>
    </row>
    <row r="78" ht="15.75" customHeight="1">
      <c r="C78" s="7"/>
      <c r="N78" s="6"/>
    </row>
    <row r="79" ht="15.75" customHeight="1">
      <c r="C79" s="7"/>
      <c r="N79" s="6"/>
    </row>
    <row r="80" ht="15.75" customHeight="1">
      <c r="C80" s="7"/>
      <c r="N80" s="6"/>
    </row>
    <row r="81" ht="15.75" customHeight="1">
      <c r="C81" s="7"/>
      <c r="N81" s="6"/>
    </row>
    <row r="82" ht="15.75" customHeight="1">
      <c r="C82" s="7"/>
      <c r="N82" s="6"/>
    </row>
    <row r="83" ht="15.75" customHeight="1">
      <c r="C83" s="7"/>
      <c r="N83" s="6"/>
    </row>
    <row r="84" ht="15.75" customHeight="1">
      <c r="C84" s="7"/>
      <c r="N84" s="6"/>
    </row>
    <row r="85" ht="15.75" customHeight="1">
      <c r="C85" s="7"/>
      <c r="N85" s="6"/>
    </row>
    <row r="86" ht="15.75" customHeight="1">
      <c r="C86" s="7"/>
      <c r="N86" s="6"/>
    </row>
    <row r="87" ht="15.75" customHeight="1">
      <c r="C87" s="7"/>
      <c r="N87" s="6"/>
    </row>
    <row r="88" ht="15.75" customHeight="1">
      <c r="C88" s="7"/>
      <c r="N88" s="6"/>
    </row>
    <row r="89" ht="15.75" customHeight="1">
      <c r="C89" s="7"/>
      <c r="N89" s="6"/>
    </row>
    <row r="90" ht="15.75" customHeight="1">
      <c r="C90" s="7"/>
      <c r="N90" s="6"/>
    </row>
    <row r="91" ht="15.75" customHeight="1">
      <c r="C91" s="7"/>
      <c r="N91" s="6"/>
    </row>
    <row r="92" ht="15.75" customHeight="1">
      <c r="C92" s="7"/>
      <c r="N92" s="6"/>
    </row>
    <row r="93" ht="15.75" customHeight="1">
      <c r="C93" s="7"/>
      <c r="N93" s="6"/>
    </row>
    <row r="94" ht="15.75" customHeight="1">
      <c r="C94" s="7"/>
      <c r="N94" s="6"/>
    </row>
    <row r="95" ht="15.75" customHeight="1">
      <c r="C95" s="7"/>
      <c r="N95" s="6"/>
    </row>
    <row r="96" ht="15.75" customHeight="1">
      <c r="C96" s="7"/>
      <c r="N96" s="6"/>
    </row>
    <row r="97" ht="15.75" customHeight="1">
      <c r="C97" s="7"/>
      <c r="N97" s="6"/>
    </row>
    <row r="98" ht="15.75" customHeight="1">
      <c r="C98" s="7"/>
      <c r="N98" s="6"/>
    </row>
    <row r="99" ht="15.75" customHeight="1">
      <c r="C99" s="7"/>
      <c r="N99" s="6"/>
    </row>
    <row r="100" ht="15.75" customHeight="1">
      <c r="C100" s="7"/>
      <c r="N100" s="6"/>
    </row>
    <row r="101" ht="15.75" customHeight="1">
      <c r="C101" s="7"/>
      <c r="N101" s="6"/>
    </row>
    <row r="102" ht="15.75" customHeight="1">
      <c r="C102" s="7"/>
      <c r="N102" s="6"/>
    </row>
    <row r="103" ht="15.75" customHeight="1">
      <c r="C103" s="7"/>
      <c r="N103" s="6"/>
    </row>
    <row r="104" ht="15.75" customHeight="1">
      <c r="C104" s="7"/>
      <c r="N104" s="6"/>
    </row>
    <row r="105" ht="15.75" customHeight="1">
      <c r="C105" s="7"/>
      <c r="N105" s="6"/>
    </row>
    <row r="106" ht="15.75" customHeight="1">
      <c r="C106" s="7"/>
      <c r="N106" s="6"/>
    </row>
    <row r="107" ht="15.75" customHeight="1">
      <c r="C107" s="7"/>
      <c r="N107" s="6"/>
    </row>
    <row r="108" ht="15.75" customHeight="1">
      <c r="C108" s="7"/>
      <c r="N108" s="6"/>
    </row>
    <row r="109" ht="15.75" customHeight="1">
      <c r="C109" s="7"/>
      <c r="N109" s="6"/>
    </row>
    <row r="110" ht="15.75" customHeight="1">
      <c r="C110" s="7"/>
      <c r="N110" s="6"/>
    </row>
    <row r="111" ht="15.75" customHeight="1">
      <c r="C111" s="7"/>
      <c r="N111" s="6"/>
    </row>
    <row r="112" ht="15.75" customHeight="1">
      <c r="C112" s="7"/>
      <c r="N112" s="6"/>
    </row>
    <row r="113" ht="15.75" customHeight="1">
      <c r="C113" s="7"/>
      <c r="N113" s="6"/>
    </row>
    <row r="114" ht="15.75" customHeight="1">
      <c r="C114" s="7"/>
      <c r="N114" s="6"/>
    </row>
    <row r="115" ht="15.75" customHeight="1">
      <c r="C115" s="7"/>
      <c r="N115" s="6"/>
    </row>
    <row r="116" ht="15.75" customHeight="1">
      <c r="C116" s="7"/>
      <c r="N116" s="6"/>
    </row>
    <row r="117" ht="15.75" customHeight="1">
      <c r="C117" s="7"/>
      <c r="N117" s="6"/>
    </row>
    <row r="118" ht="15.75" customHeight="1">
      <c r="C118" s="7"/>
      <c r="N118" s="6"/>
    </row>
    <row r="119" ht="15.75" customHeight="1">
      <c r="C119" s="7"/>
      <c r="N119" s="6"/>
    </row>
    <row r="120" ht="15.75" customHeight="1">
      <c r="C120" s="7"/>
      <c r="N120" s="6"/>
    </row>
    <row r="121" ht="15.75" customHeight="1">
      <c r="C121" s="7"/>
      <c r="N121" s="6"/>
    </row>
    <row r="122" ht="15.75" customHeight="1">
      <c r="C122" s="7"/>
      <c r="N122" s="6"/>
    </row>
    <row r="123" ht="15.75" customHeight="1">
      <c r="C123" s="7"/>
      <c r="N123" s="6"/>
    </row>
    <row r="124" ht="15.75" customHeight="1">
      <c r="C124" s="7"/>
      <c r="N124" s="6"/>
    </row>
    <row r="125" ht="15.75" customHeight="1">
      <c r="C125" s="7"/>
      <c r="N125" s="6"/>
    </row>
    <row r="126" ht="15.75" customHeight="1">
      <c r="C126" s="7"/>
      <c r="N126" s="6"/>
    </row>
    <row r="127" ht="15.75" customHeight="1">
      <c r="C127" s="7"/>
      <c r="N127" s="6"/>
    </row>
    <row r="128" ht="15.75" customHeight="1">
      <c r="C128" s="7"/>
      <c r="N128" s="6"/>
    </row>
    <row r="129" ht="15.75" customHeight="1">
      <c r="C129" s="7"/>
      <c r="N129" s="6"/>
    </row>
    <row r="130" ht="15.75" customHeight="1">
      <c r="C130" s="7"/>
      <c r="N130" s="6"/>
    </row>
    <row r="131" ht="15.75" customHeight="1">
      <c r="C131" s="7"/>
      <c r="N131" s="6"/>
    </row>
    <row r="132" ht="15.75" customHeight="1">
      <c r="C132" s="7"/>
      <c r="N132" s="6"/>
    </row>
    <row r="133" ht="15.75" customHeight="1">
      <c r="C133" s="7"/>
      <c r="N133" s="6"/>
    </row>
    <row r="134" ht="15.75" customHeight="1">
      <c r="C134" s="7"/>
      <c r="N134" s="6"/>
    </row>
    <row r="135" ht="15.75" customHeight="1">
      <c r="C135" s="7"/>
      <c r="N135" s="6"/>
    </row>
    <row r="136" ht="15.75" customHeight="1">
      <c r="C136" s="7"/>
      <c r="N136" s="6"/>
    </row>
    <row r="137" ht="15.75" customHeight="1">
      <c r="C137" s="7"/>
      <c r="N137" s="6"/>
    </row>
    <row r="138" ht="15.75" customHeight="1">
      <c r="C138" s="7"/>
      <c r="N138" s="6"/>
    </row>
    <row r="139" ht="15.75" customHeight="1">
      <c r="C139" s="7"/>
      <c r="N139" s="6"/>
    </row>
    <row r="140" ht="15.75" customHeight="1">
      <c r="C140" s="7"/>
      <c r="N140" s="6"/>
    </row>
    <row r="141" ht="15.75" customHeight="1">
      <c r="C141" s="7"/>
      <c r="N141" s="6"/>
    </row>
    <row r="142" ht="15.75" customHeight="1">
      <c r="C142" s="7"/>
      <c r="N142" s="6"/>
    </row>
    <row r="143" ht="15.75" customHeight="1">
      <c r="C143" s="7"/>
      <c r="N143" s="6"/>
    </row>
    <row r="144" ht="15.75" customHeight="1">
      <c r="C144" s="7"/>
      <c r="N144" s="6"/>
    </row>
    <row r="145" ht="15.75" customHeight="1">
      <c r="C145" s="7"/>
      <c r="N145" s="6"/>
    </row>
    <row r="146" ht="15.75" customHeight="1">
      <c r="C146" s="7"/>
      <c r="N146" s="6"/>
    </row>
    <row r="147" ht="15.75" customHeight="1">
      <c r="C147" s="7"/>
      <c r="N147" s="6"/>
    </row>
    <row r="148" ht="15.75" customHeight="1">
      <c r="C148" s="7"/>
      <c r="N148" s="6"/>
    </row>
    <row r="149" ht="15.75" customHeight="1">
      <c r="C149" s="7"/>
      <c r="N149" s="6"/>
    </row>
    <row r="150" ht="15.75" customHeight="1">
      <c r="C150" s="7"/>
      <c r="N150" s="6"/>
    </row>
    <row r="151" ht="15.75" customHeight="1">
      <c r="C151" s="7"/>
      <c r="N151" s="6"/>
    </row>
    <row r="152" ht="15.75" customHeight="1">
      <c r="C152" s="7"/>
      <c r="N152" s="6"/>
    </row>
    <row r="153" ht="15.75" customHeight="1">
      <c r="C153" s="7"/>
      <c r="N153" s="6"/>
    </row>
    <row r="154" ht="15.75" customHeight="1">
      <c r="C154" s="7"/>
      <c r="N154" s="6"/>
    </row>
    <row r="155" ht="15.75" customHeight="1">
      <c r="C155" s="7"/>
      <c r="N155" s="6"/>
    </row>
    <row r="156" ht="15.75" customHeight="1">
      <c r="C156" s="7"/>
      <c r="N156" s="6"/>
    </row>
    <row r="157" ht="15.75" customHeight="1">
      <c r="C157" s="7"/>
      <c r="N157" s="6"/>
    </row>
    <row r="158" ht="15.75" customHeight="1">
      <c r="C158" s="7"/>
      <c r="N158" s="6"/>
    </row>
    <row r="159" ht="15.75" customHeight="1">
      <c r="C159" s="7"/>
      <c r="N159" s="6"/>
    </row>
    <row r="160" ht="15.75" customHeight="1">
      <c r="C160" s="7"/>
      <c r="N160" s="6"/>
    </row>
    <row r="161" ht="15.75" customHeight="1">
      <c r="C161" s="7"/>
      <c r="N161" s="6"/>
    </row>
    <row r="162" ht="15.75" customHeight="1">
      <c r="C162" s="7"/>
      <c r="N162" s="6"/>
    </row>
    <row r="163" ht="15.75" customHeight="1">
      <c r="C163" s="7"/>
      <c r="N163" s="6"/>
    </row>
    <row r="164" ht="15.75" customHeight="1">
      <c r="C164" s="7"/>
      <c r="N164" s="6"/>
    </row>
    <row r="165" ht="15.75" customHeight="1">
      <c r="C165" s="7"/>
      <c r="N165" s="6"/>
    </row>
    <row r="166" ht="15.75" customHeight="1">
      <c r="C166" s="7"/>
      <c r="N166" s="6"/>
    </row>
    <row r="167" ht="15.75" customHeight="1">
      <c r="C167" s="7"/>
      <c r="N167" s="6"/>
    </row>
    <row r="168" ht="15.75" customHeight="1">
      <c r="C168" s="7"/>
      <c r="N168" s="6"/>
    </row>
    <row r="169" ht="15.75" customHeight="1">
      <c r="C169" s="7"/>
      <c r="N169" s="6"/>
    </row>
    <row r="170" ht="15.75" customHeight="1">
      <c r="C170" s="7"/>
      <c r="N170" s="6"/>
    </row>
    <row r="171" ht="15.75" customHeight="1">
      <c r="C171" s="7"/>
      <c r="N171" s="6"/>
    </row>
    <row r="172" ht="15.75" customHeight="1">
      <c r="C172" s="7"/>
      <c r="N172" s="6"/>
    </row>
    <row r="173" ht="15.75" customHeight="1">
      <c r="C173" s="7"/>
      <c r="N173" s="6"/>
    </row>
    <row r="174" ht="15.75" customHeight="1">
      <c r="C174" s="7"/>
      <c r="N174" s="6"/>
    </row>
    <row r="175" ht="15.75" customHeight="1">
      <c r="C175" s="7"/>
      <c r="N175" s="6"/>
    </row>
    <row r="176" ht="15.75" customHeight="1">
      <c r="C176" s="7"/>
      <c r="N176" s="6"/>
    </row>
    <row r="177" ht="15.75" customHeight="1">
      <c r="C177" s="7"/>
      <c r="N177" s="6"/>
    </row>
    <row r="178" ht="15.75" customHeight="1">
      <c r="C178" s="7"/>
      <c r="N178" s="6"/>
    </row>
    <row r="179" ht="15.75" customHeight="1">
      <c r="C179" s="7"/>
      <c r="N179" s="6"/>
    </row>
    <row r="180" ht="15.75" customHeight="1">
      <c r="C180" s="7"/>
      <c r="N180" s="6"/>
    </row>
    <row r="181" ht="15.75" customHeight="1">
      <c r="C181" s="7"/>
      <c r="N181" s="6"/>
    </row>
    <row r="182" ht="15.75" customHeight="1">
      <c r="C182" s="7"/>
      <c r="N182" s="6"/>
    </row>
    <row r="183" ht="15.75" customHeight="1">
      <c r="C183" s="7"/>
      <c r="N183" s="6"/>
    </row>
    <row r="184" ht="15.75" customHeight="1">
      <c r="C184" s="7"/>
      <c r="N184" s="6"/>
    </row>
    <row r="185" ht="15.75" customHeight="1">
      <c r="C185" s="7"/>
      <c r="N185" s="6"/>
    </row>
    <row r="186" ht="15.75" customHeight="1">
      <c r="C186" s="7"/>
      <c r="N186" s="6"/>
    </row>
    <row r="187" ht="15.75" customHeight="1">
      <c r="C187" s="7"/>
      <c r="N187" s="6"/>
    </row>
    <row r="188" ht="15.75" customHeight="1">
      <c r="C188" s="7"/>
      <c r="N188" s="6"/>
    </row>
    <row r="189" ht="15.75" customHeight="1">
      <c r="C189" s="7"/>
      <c r="N189" s="6"/>
    </row>
    <row r="190" ht="15.75" customHeight="1">
      <c r="C190" s="7"/>
      <c r="N190" s="6"/>
    </row>
    <row r="191" ht="15.75" customHeight="1">
      <c r="C191" s="7"/>
      <c r="N191" s="6"/>
    </row>
    <row r="192" ht="15.75" customHeight="1">
      <c r="C192" s="7"/>
      <c r="N192" s="6"/>
    </row>
    <row r="193" ht="15.75" customHeight="1">
      <c r="C193" s="7"/>
      <c r="N193" s="6"/>
    </row>
    <row r="194" ht="15.75" customHeight="1">
      <c r="C194" s="7"/>
      <c r="N194" s="6"/>
    </row>
    <row r="195" ht="15.75" customHeight="1">
      <c r="C195" s="7"/>
      <c r="N195" s="6"/>
    </row>
    <row r="196" ht="15.75" customHeight="1">
      <c r="C196" s="7"/>
      <c r="N196" s="6"/>
    </row>
    <row r="197" ht="15.75" customHeight="1">
      <c r="C197" s="7"/>
      <c r="N197" s="6"/>
    </row>
    <row r="198" ht="15.75" customHeight="1">
      <c r="C198" s="7"/>
      <c r="N198" s="6"/>
    </row>
    <row r="199" ht="15.75" customHeight="1">
      <c r="C199" s="7"/>
      <c r="N199" s="6"/>
    </row>
    <row r="200" ht="15.75" customHeight="1">
      <c r="C200" s="7"/>
      <c r="N200" s="6"/>
    </row>
    <row r="201" ht="15.75" customHeight="1">
      <c r="C201" s="7"/>
      <c r="N201" s="6"/>
    </row>
    <row r="202" ht="15.75" customHeight="1">
      <c r="C202" s="7"/>
      <c r="N202" s="6"/>
    </row>
    <row r="203" ht="15.75" customHeight="1">
      <c r="C203" s="7"/>
      <c r="N203" s="6"/>
    </row>
    <row r="204" ht="15.75" customHeight="1">
      <c r="C204" s="7"/>
      <c r="N204" s="6"/>
    </row>
    <row r="205" ht="15.75" customHeight="1">
      <c r="C205" s="7"/>
      <c r="N205" s="6"/>
    </row>
    <row r="206" ht="15.75" customHeight="1">
      <c r="C206" s="7"/>
      <c r="N206" s="6"/>
    </row>
    <row r="207" ht="15.75" customHeight="1">
      <c r="C207" s="7"/>
      <c r="N207" s="6"/>
    </row>
    <row r="208" ht="15.75" customHeight="1">
      <c r="C208" s="7"/>
      <c r="N208" s="6"/>
    </row>
    <row r="209" ht="15.75" customHeight="1">
      <c r="C209" s="7"/>
      <c r="N209" s="6"/>
    </row>
    <row r="210" ht="15.75" customHeight="1">
      <c r="C210" s="7"/>
      <c r="N210" s="6"/>
    </row>
    <row r="211" ht="15.75" customHeight="1">
      <c r="C211" s="7"/>
      <c r="N211" s="6"/>
    </row>
    <row r="212" ht="15.75" customHeight="1">
      <c r="C212" s="7"/>
      <c r="N212" s="6"/>
    </row>
    <row r="213" ht="15.75" customHeight="1">
      <c r="C213" s="7"/>
      <c r="N213" s="6"/>
    </row>
    <row r="214" ht="15.75" customHeight="1">
      <c r="C214" s="7"/>
      <c r="N214" s="6"/>
    </row>
    <row r="215" ht="15.75" customHeight="1">
      <c r="C215" s="7"/>
      <c r="N215" s="6"/>
    </row>
    <row r="216" ht="15.75" customHeight="1">
      <c r="C216" s="7"/>
      <c r="N216" s="6"/>
    </row>
    <row r="217" ht="15.75" customHeight="1">
      <c r="C217" s="7"/>
      <c r="N217" s="6"/>
    </row>
    <row r="218" ht="15.75" customHeight="1">
      <c r="C218" s="7"/>
      <c r="N218" s="6"/>
    </row>
    <row r="219" ht="15.75" customHeight="1">
      <c r="C219" s="7"/>
      <c r="N219" s="6"/>
    </row>
    <row r="220" ht="15.75" customHeight="1">
      <c r="C220" s="7"/>
      <c r="N220" s="6"/>
    </row>
    <row r="221" ht="15.75" customHeight="1">
      <c r="C221" s="7"/>
      <c r="N221" s="6"/>
    </row>
    <row r="222" ht="15.75" customHeight="1">
      <c r="C222" s="7"/>
      <c r="N222" s="6"/>
    </row>
    <row r="223" ht="15.75" customHeight="1">
      <c r="C223" s="7"/>
      <c r="N223" s="6"/>
    </row>
    <row r="224" ht="15.75" customHeight="1">
      <c r="C224" s="7"/>
      <c r="N224" s="6"/>
    </row>
    <row r="225" ht="15.75" customHeight="1">
      <c r="C225" s="7"/>
      <c r="N225" s="6"/>
    </row>
    <row r="226" ht="15.75" customHeight="1">
      <c r="C226" s="7"/>
      <c r="N226" s="6"/>
    </row>
    <row r="227" ht="15.75" customHeight="1">
      <c r="C227" s="7"/>
      <c r="N227" s="6"/>
    </row>
    <row r="228" ht="15.75" customHeight="1">
      <c r="C228" s="7"/>
      <c r="N228" s="6"/>
    </row>
    <row r="229" ht="15.75" customHeight="1">
      <c r="C229" s="7"/>
      <c r="N229" s="6"/>
    </row>
    <row r="230" ht="15.75" customHeight="1">
      <c r="C230" s="7"/>
      <c r="N230" s="6"/>
    </row>
    <row r="231" ht="15.75" customHeight="1">
      <c r="C231" s="7"/>
      <c r="N231" s="6"/>
    </row>
    <row r="232" ht="15.75" customHeight="1">
      <c r="C232" s="7"/>
      <c r="N232" s="6"/>
    </row>
    <row r="233" ht="15.75" customHeight="1">
      <c r="C233" s="7"/>
      <c r="N233" s="6"/>
    </row>
    <row r="234" ht="15.75" customHeight="1">
      <c r="C234" s="7"/>
      <c r="N234" s="6"/>
    </row>
    <row r="235" ht="15.75" customHeight="1">
      <c r="C235" s="7"/>
      <c r="N235" s="6"/>
    </row>
    <row r="236" ht="15.75" customHeight="1">
      <c r="C236" s="7"/>
      <c r="N236" s="6"/>
    </row>
    <row r="237" ht="15.75" customHeight="1">
      <c r="C237" s="7"/>
      <c r="N237" s="6"/>
    </row>
    <row r="238" ht="15.75" customHeight="1">
      <c r="C238" s="7"/>
      <c r="N238" s="6"/>
    </row>
    <row r="239" ht="15.75" customHeight="1">
      <c r="C239" s="7"/>
      <c r="N239" s="6"/>
    </row>
    <row r="240" ht="15.75" customHeight="1">
      <c r="C240" s="7"/>
      <c r="N240" s="6"/>
    </row>
    <row r="241" ht="15.75" customHeight="1">
      <c r="C241" s="7"/>
      <c r="N241" s="6"/>
    </row>
    <row r="242" ht="15.75" customHeight="1">
      <c r="C242" s="7"/>
      <c r="N242" s="6"/>
    </row>
    <row r="243" ht="15.75" customHeight="1">
      <c r="C243" s="7"/>
      <c r="N243" s="6"/>
    </row>
    <row r="244" ht="15.75" customHeight="1">
      <c r="C244" s="7"/>
      <c r="N244" s="6"/>
    </row>
    <row r="245" ht="15.75" customHeight="1">
      <c r="C245" s="7"/>
      <c r="N245" s="6"/>
    </row>
    <row r="246" ht="15.75" customHeight="1">
      <c r="C246" s="7"/>
      <c r="N246" s="6"/>
    </row>
    <row r="247" ht="15.75" customHeight="1">
      <c r="C247" s="7"/>
      <c r="N247" s="6"/>
    </row>
    <row r="248" ht="15.75" customHeight="1">
      <c r="C248" s="7"/>
      <c r="N248" s="6"/>
    </row>
    <row r="249" ht="15.75" customHeight="1">
      <c r="C249" s="7"/>
      <c r="N249" s="6"/>
    </row>
    <row r="250" ht="15.75" customHeight="1">
      <c r="C250" s="7"/>
      <c r="N250" s="6"/>
    </row>
    <row r="251" ht="15.75" customHeight="1">
      <c r="C251" s="7"/>
      <c r="N251" s="6"/>
    </row>
    <row r="252" ht="15.75" customHeight="1">
      <c r="C252" s="7"/>
      <c r="N252" s="6"/>
    </row>
    <row r="253" ht="15.75" customHeight="1">
      <c r="C253" s="7"/>
      <c r="N253" s="6"/>
    </row>
    <row r="254" ht="15.75" customHeight="1">
      <c r="C254" s="7"/>
      <c r="N254" s="6"/>
    </row>
    <row r="255" ht="15.75" customHeight="1">
      <c r="C255" s="7"/>
      <c r="N255" s="6"/>
    </row>
    <row r="256" ht="15.75" customHeight="1">
      <c r="C256" s="7"/>
      <c r="N256" s="6"/>
    </row>
    <row r="257" ht="15.75" customHeight="1">
      <c r="C257" s="7"/>
      <c r="N257" s="6"/>
    </row>
    <row r="258" ht="15.75" customHeight="1">
      <c r="C258" s="7"/>
      <c r="N258" s="6"/>
    </row>
    <row r="259" ht="15.75" customHeight="1">
      <c r="C259" s="7"/>
      <c r="N259" s="6"/>
    </row>
    <row r="260" ht="15.75" customHeight="1">
      <c r="C260" s="7"/>
      <c r="N260" s="6"/>
    </row>
    <row r="261" ht="15.75" customHeight="1">
      <c r="C261" s="7"/>
      <c r="N261" s="6"/>
    </row>
    <row r="262" ht="15.75" customHeight="1">
      <c r="C262" s="7"/>
      <c r="N262" s="6"/>
    </row>
    <row r="263" ht="15.75" customHeight="1">
      <c r="C263" s="7"/>
      <c r="N263" s="6"/>
    </row>
    <row r="264" ht="15.75" customHeight="1">
      <c r="C264" s="7"/>
      <c r="N264" s="6"/>
    </row>
    <row r="265" ht="15.75" customHeight="1">
      <c r="C265" s="7"/>
      <c r="N265" s="6"/>
    </row>
    <row r="266" ht="15.75" customHeight="1">
      <c r="C266" s="7"/>
      <c r="N266" s="6"/>
    </row>
    <row r="267" ht="15.75" customHeight="1">
      <c r="C267" s="7"/>
      <c r="N267" s="6"/>
    </row>
    <row r="268" ht="15.75" customHeight="1">
      <c r="C268" s="7"/>
      <c r="N268" s="6"/>
    </row>
    <row r="269" ht="15.75" customHeight="1">
      <c r="C269" s="7"/>
      <c r="N269" s="6"/>
    </row>
    <row r="270" ht="15.75" customHeight="1">
      <c r="C270" s="7"/>
      <c r="N270" s="6"/>
    </row>
    <row r="271" ht="15.75" customHeight="1">
      <c r="C271" s="7"/>
      <c r="N271" s="6"/>
    </row>
    <row r="272" ht="15.75" customHeight="1">
      <c r="C272" s="7"/>
      <c r="N272" s="6"/>
    </row>
    <row r="273" ht="15.75" customHeight="1">
      <c r="C273" s="7"/>
      <c r="N273" s="6"/>
    </row>
    <row r="274" ht="15.75" customHeight="1">
      <c r="C274" s="7"/>
      <c r="N274" s="6"/>
    </row>
    <row r="275" ht="15.75" customHeight="1">
      <c r="C275" s="7"/>
      <c r="N275" s="6"/>
    </row>
    <row r="276" ht="15.75" customHeight="1">
      <c r="C276" s="7"/>
      <c r="N276" s="6"/>
    </row>
    <row r="277" ht="15.75" customHeight="1">
      <c r="C277" s="7"/>
      <c r="N277" s="6"/>
    </row>
    <row r="278" ht="15.75" customHeight="1">
      <c r="C278" s="7"/>
      <c r="N278" s="6"/>
    </row>
    <row r="279" ht="15.75" customHeight="1">
      <c r="C279" s="7"/>
      <c r="N279" s="6"/>
    </row>
    <row r="280" ht="15.75" customHeight="1">
      <c r="C280" s="7"/>
      <c r="N280" s="6"/>
    </row>
    <row r="281" ht="15.75" customHeight="1">
      <c r="C281" s="7"/>
      <c r="N281" s="6"/>
    </row>
    <row r="282" ht="15.75" customHeight="1">
      <c r="C282" s="7"/>
      <c r="N282" s="6"/>
    </row>
    <row r="283" ht="15.75" customHeight="1">
      <c r="C283" s="7"/>
      <c r="N283" s="6"/>
    </row>
    <row r="284" ht="15.75" customHeight="1">
      <c r="C284" s="7"/>
      <c r="N284" s="6"/>
    </row>
    <row r="285" ht="15.75" customHeight="1">
      <c r="C285" s="7"/>
      <c r="N285" s="6"/>
    </row>
    <row r="286" ht="15.75" customHeight="1">
      <c r="C286" s="7"/>
      <c r="N286" s="6"/>
    </row>
    <row r="287" ht="15.75" customHeight="1">
      <c r="C287" s="7"/>
      <c r="N287" s="6"/>
    </row>
    <row r="288" ht="15.75" customHeight="1">
      <c r="C288" s="7"/>
      <c r="N288" s="6"/>
    </row>
    <row r="289" ht="15.75" customHeight="1">
      <c r="C289" s="7"/>
      <c r="N289" s="6"/>
    </row>
    <row r="290" ht="15.75" customHeight="1">
      <c r="C290" s="7"/>
      <c r="N290" s="6"/>
    </row>
    <row r="291" ht="15.75" customHeight="1">
      <c r="C291" s="7"/>
      <c r="N291" s="6"/>
    </row>
    <row r="292" ht="15.75" customHeight="1">
      <c r="C292" s="7"/>
      <c r="N292" s="6"/>
    </row>
    <row r="293" ht="15.75" customHeight="1">
      <c r="C293" s="7"/>
      <c r="N293" s="6"/>
    </row>
    <row r="294" ht="15.75" customHeight="1">
      <c r="C294" s="7"/>
      <c r="N294" s="6"/>
    </row>
    <row r="295" ht="15.75" customHeight="1">
      <c r="C295" s="7"/>
      <c r="N295" s="6"/>
    </row>
    <row r="296" ht="15.75" customHeight="1">
      <c r="C296" s="7"/>
      <c r="N296" s="6"/>
    </row>
    <row r="297" ht="15.75" customHeight="1">
      <c r="C297" s="7"/>
      <c r="N297" s="6"/>
    </row>
    <row r="298" ht="15.75" customHeight="1">
      <c r="C298" s="7"/>
      <c r="N298" s="6"/>
    </row>
    <row r="299" ht="15.75" customHeight="1">
      <c r="C299" s="7"/>
      <c r="N299" s="6"/>
    </row>
    <row r="300" ht="15.75" customHeight="1">
      <c r="C300" s="7"/>
      <c r="N300" s="6"/>
    </row>
    <row r="301" ht="15.75" customHeight="1">
      <c r="C301" s="7"/>
      <c r="N301" s="6"/>
    </row>
    <row r="302" ht="15.75" customHeight="1">
      <c r="C302" s="7"/>
      <c r="N302" s="6"/>
    </row>
    <row r="303" ht="15.75" customHeight="1">
      <c r="C303" s="7"/>
      <c r="N303" s="6"/>
    </row>
    <row r="304" ht="15.75" customHeight="1">
      <c r="C304" s="7"/>
      <c r="N304" s="6"/>
    </row>
    <row r="305" ht="15.75" customHeight="1">
      <c r="C305" s="7"/>
      <c r="N305" s="6"/>
    </row>
    <row r="306" ht="15.75" customHeight="1">
      <c r="C306" s="7"/>
      <c r="N306" s="6"/>
    </row>
    <row r="307" ht="15.75" customHeight="1">
      <c r="C307" s="7"/>
      <c r="N307" s="6"/>
    </row>
    <row r="308" ht="15.75" customHeight="1">
      <c r="C308" s="7"/>
      <c r="N308" s="6"/>
    </row>
    <row r="309" ht="15.75" customHeight="1">
      <c r="C309" s="7"/>
      <c r="N309" s="6"/>
    </row>
    <row r="310" ht="15.75" customHeight="1">
      <c r="C310" s="7"/>
      <c r="N310" s="6"/>
    </row>
    <row r="311" ht="15.75" customHeight="1">
      <c r="C311" s="7"/>
      <c r="N311" s="6"/>
    </row>
    <row r="312" ht="15.75" customHeight="1">
      <c r="C312" s="7"/>
      <c r="N312" s="6"/>
    </row>
    <row r="313" ht="15.75" customHeight="1">
      <c r="C313" s="7"/>
      <c r="N313" s="6"/>
    </row>
    <row r="314" ht="15.75" customHeight="1">
      <c r="C314" s="7"/>
      <c r="N314" s="6"/>
    </row>
    <row r="315" ht="15.75" customHeight="1">
      <c r="C315" s="7"/>
      <c r="N315" s="6"/>
    </row>
    <row r="316" ht="15.75" customHeight="1">
      <c r="C316" s="7"/>
      <c r="N316" s="6"/>
    </row>
    <row r="317" ht="15.75" customHeight="1">
      <c r="C317" s="7"/>
      <c r="N317" s="6"/>
    </row>
    <row r="318" ht="15.75" customHeight="1">
      <c r="C318" s="7"/>
      <c r="N318" s="6"/>
    </row>
    <row r="319" ht="15.75" customHeight="1">
      <c r="C319" s="7"/>
      <c r="N319" s="6"/>
    </row>
    <row r="320" ht="15.75" customHeight="1">
      <c r="C320" s="7"/>
      <c r="N320" s="6"/>
    </row>
    <row r="321" ht="15.75" customHeight="1">
      <c r="C321" s="7"/>
      <c r="N321" s="6"/>
    </row>
    <row r="322" ht="15.75" customHeight="1">
      <c r="C322" s="7"/>
      <c r="N322" s="6"/>
    </row>
    <row r="323" ht="15.75" customHeight="1">
      <c r="C323" s="7"/>
      <c r="N323" s="6"/>
    </row>
    <row r="324" ht="15.75" customHeight="1">
      <c r="C324" s="7"/>
      <c r="N324" s="6"/>
    </row>
    <row r="325" ht="15.75" customHeight="1">
      <c r="C325" s="7"/>
      <c r="N325" s="6"/>
    </row>
    <row r="326" ht="15.75" customHeight="1">
      <c r="C326" s="7"/>
      <c r="N326" s="6"/>
    </row>
    <row r="327" ht="15.75" customHeight="1">
      <c r="C327" s="7"/>
      <c r="N327" s="6"/>
    </row>
    <row r="328" ht="15.75" customHeight="1">
      <c r="C328" s="7"/>
      <c r="N328" s="6"/>
    </row>
    <row r="329" ht="15.75" customHeight="1">
      <c r="C329" s="7"/>
      <c r="N329" s="6"/>
    </row>
    <row r="330" ht="15.75" customHeight="1">
      <c r="C330" s="7"/>
      <c r="N330" s="6"/>
    </row>
    <row r="331" ht="15.75" customHeight="1">
      <c r="C331" s="7"/>
      <c r="N331" s="6"/>
    </row>
    <row r="332" ht="15.75" customHeight="1">
      <c r="C332" s="7"/>
      <c r="N332" s="6"/>
    </row>
    <row r="333" ht="15.75" customHeight="1">
      <c r="C333" s="7"/>
      <c r="N333" s="6"/>
    </row>
    <row r="334" ht="15.75" customHeight="1">
      <c r="C334" s="7"/>
      <c r="N334" s="6"/>
    </row>
    <row r="335" ht="15.75" customHeight="1">
      <c r="C335" s="7"/>
      <c r="N335" s="6"/>
    </row>
    <row r="336" ht="15.75" customHeight="1">
      <c r="C336" s="7"/>
      <c r="N336" s="6"/>
    </row>
    <row r="337" ht="15.75" customHeight="1">
      <c r="C337" s="7"/>
      <c r="N337" s="6"/>
    </row>
    <row r="338" ht="15.75" customHeight="1">
      <c r="C338" s="7"/>
      <c r="N338" s="6"/>
    </row>
    <row r="339" ht="15.75" customHeight="1">
      <c r="C339" s="7"/>
      <c r="N339" s="6"/>
    </row>
    <row r="340" ht="15.75" customHeight="1">
      <c r="C340" s="7"/>
      <c r="N340" s="6"/>
    </row>
    <row r="341" ht="15.75" customHeight="1">
      <c r="C341" s="7"/>
      <c r="N341" s="6"/>
    </row>
    <row r="342" ht="15.75" customHeight="1">
      <c r="C342" s="7"/>
      <c r="N342" s="6"/>
    </row>
    <row r="343" ht="15.75" customHeight="1">
      <c r="C343" s="7"/>
      <c r="N343" s="6"/>
    </row>
    <row r="344" ht="15.75" customHeight="1">
      <c r="C344" s="7"/>
      <c r="N344" s="6"/>
    </row>
    <row r="345" ht="15.75" customHeight="1">
      <c r="C345" s="7"/>
      <c r="N345" s="6"/>
    </row>
    <row r="346" ht="15.75" customHeight="1">
      <c r="C346" s="7"/>
      <c r="N346" s="6"/>
    </row>
    <row r="347" ht="15.75" customHeight="1">
      <c r="C347" s="7"/>
      <c r="N347" s="6"/>
    </row>
    <row r="348" ht="15.75" customHeight="1">
      <c r="C348" s="7"/>
      <c r="N348" s="6"/>
    </row>
    <row r="349" ht="15.75" customHeight="1">
      <c r="C349" s="7"/>
      <c r="N349" s="6"/>
    </row>
    <row r="350" ht="15.75" customHeight="1">
      <c r="C350" s="7"/>
      <c r="N350" s="6"/>
    </row>
    <row r="351" ht="15.75" customHeight="1">
      <c r="C351" s="7"/>
      <c r="N351" s="6"/>
    </row>
    <row r="352" ht="15.75" customHeight="1">
      <c r="C352" s="7"/>
      <c r="N352" s="6"/>
    </row>
    <row r="353" ht="15.75" customHeight="1">
      <c r="C353" s="7"/>
      <c r="N353" s="6"/>
    </row>
    <row r="354" ht="15.75" customHeight="1">
      <c r="C354" s="7"/>
      <c r="N354" s="6"/>
    </row>
    <row r="355" ht="15.75" customHeight="1">
      <c r="C355" s="7"/>
      <c r="N355" s="6"/>
    </row>
    <row r="356" ht="15.75" customHeight="1">
      <c r="C356" s="7"/>
      <c r="N356" s="6"/>
    </row>
    <row r="357" ht="15.75" customHeight="1">
      <c r="C357" s="7"/>
      <c r="N357" s="6"/>
    </row>
    <row r="358" ht="15.75" customHeight="1">
      <c r="C358" s="7"/>
      <c r="N358" s="6"/>
    </row>
    <row r="359" ht="15.75" customHeight="1">
      <c r="C359" s="7"/>
      <c r="N359" s="6"/>
    </row>
    <row r="360" ht="15.75" customHeight="1">
      <c r="C360" s="7"/>
      <c r="N360" s="6"/>
    </row>
    <row r="361" ht="15.75" customHeight="1">
      <c r="C361" s="7"/>
      <c r="N361" s="6"/>
    </row>
    <row r="362" ht="15.75" customHeight="1">
      <c r="C362" s="7"/>
      <c r="N362" s="6"/>
    </row>
    <row r="363" ht="15.75" customHeight="1">
      <c r="C363" s="7"/>
      <c r="N363" s="6"/>
    </row>
    <row r="364" ht="15.75" customHeight="1">
      <c r="C364" s="7"/>
      <c r="N364" s="6"/>
    </row>
    <row r="365" ht="15.75" customHeight="1">
      <c r="C365" s="7"/>
      <c r="N365" s="6"/>
    </row>
    <row r="366" ht="15.75" customHeight="1">
      <c r="C366" s="7"/>
      <c r="N366" s="6"/>
    </row>
    <row r="367" ht="15.75" customHeight="1">
      <c r="C367" s="7"/>
      <c r="N367" s="6"/>
    </row>
    <row r="368" ht="15.75" customHeight="1">
      <c r="C368" s="7"/>
      <c r="N368" s="6"/>
    </row>
    <row r="369" ht="15.75" customHeight="1">
      <c r="C369" s="7"/>
      <c r="N369" s="6"/>
    </row>
    <row r="370" ht="15.75" customHeight="1">
      <c r="C370" s="7"/>
      <c r="N370" s="6"/>
    </row>
    <row r="371" ht="15.75" customHeight="1">
      <c r="C371" s="7"/>
      <c r="N371" s="6"/>
    </row>
    <row r="372" ht="15.75" customHeight="1">
      <c r="C372" s="7"/>
      <c r="N372" s="6"/>
    </row>
    <row r="373" ht="15.75" customHeight="1">
      <c r="C373" s="7"/>
      <c r="N373" s="6"/>
    </row>
    <row r="374" ht="15.75" customHeight="1">
      <c r="C374" s="7"/>
      <c r="N374" s="6"/>
    </row>
    <row r="375" ht="15.75" customHeight="1">
      <c r="C375" s="7"/>
      <c r="N375" s="6"/>
    </row>
    <row r="376" ht="15.75" customHeight="1">
      <c r="C376" s="7"/>
      <c r="N376" s="6"/>
    </row>
    <row r="377" ht="15.75" customHeight="1">
      <c r="C377" s="7"/>
      <c r="N377" s="6"/>
    </row>
    <row r="378" ht="15.75" customHeight="1">
      <c r="C378" s="7"/>
      <c r="N378" s="6"/>
    </row>
    <row r="379" ht="15.75" customHeight="1">
      <c r="C379" s="7"/>
      <c r="N379" s="6"/>
    </row>
    <row r="380" ht="15.75" customHeight="1">
      <c r="C380" s="7"/>
      <c r="N380" s="6"/>
    </row>
    <row r="381" ht="15.75" customHeight="1">
      <c r="C381" s="7"/>
      <c r="N381" s="6"/>
    </row>
    <row r="382" ht="15.75" customHeight="1">
      <c r="C382" s="7"/>
      <c r="N382" s="6"/>
    </row>
    <row r="383" ht="15.75" customHeight="1">
      <c r="C383" s="7"/>
      <c r="N383" s="6"/>
    </row>
    <row r="384" ht="15.75" customHeight="1">
      <c r="C384" s="7"/>
      <c r="N384" s="6"/>
    </row>
    <row r="385" ht="15.75" customHeight="1">
      <c r="C385" s="7"/>
      <c r="N385" s="6"/>
    </row>
    <row r="386" ht="15.75" customHeight="1">
      <c r="C386" s="7"/>
      <c r="N386" s="6"/>
    </row>
    <row r="387" ht="15.75" customHeight="1">
      <c r="C387" s="7"/>
      <c r="N387" s="6"/>
    </row>
    <row r="388" ht="15.75" customHeight="1">
      <c r="C388" s="7"/>
      <c r="N388" s="6"/>
    </row>
    <row r="389" ht="15.75" customHeight="1">
      <c r="C389" s="7"/>
      <c r="N389" s="6"/>
    </row>
    <row r="390" ht="15.75" customHeight="1">
      <c r="C390" s="7"/>
      <c r="N390" s="6"/>
    </row>
    <row r="391" ht="15.75" customHeight="1">
      <c r="C391" s="7"/>
      <c r="N391" s="6"/>
    </row>
    <row r="392" ht="15.75" customHeight="1">
      <c r="C392" s="7"/>
      <c r="N392" s="6"/>
    </row>
    <row r="393" ht="15.75" customHeight="1">
      <c r="C393" s="7"/>
      <c r="N393" s="6"/>
    </row>
    <row r="394" ht="15.75" customHeight="1">
      <c r="C394" s="7"/>
      <c r="N394" s="6"/>
    </row>
    <row r="395" ht="15.75" customHeight="1">
      <c r="C395" s="7"/>
      <c r="N395" s="6"/>
    </row>
    <row r="396" ht="15.75" customHeight="1">
      <c r="C396" s="7"/>
      <c r="N396" s="6"/>
    </row>
    <row r="397" ht="15.75" customHeight="1">
      <c r="C397" s="7"/>
      <c r="N397" s="6"/>
    </row>
    <row r="398" ht="15.75" customHeight="1">
      <c r="C398" s="7"/>
      <c r="N398" s="6"/>
    </row>
    <row r="399" ht="15.75" customHeight="1">
      <c r="C399" s="7"/>
      <c r="N399" s="6"/>
    </row>
    <row r="400" ht="15.75" customHeight="1">
      <c r="C400" s="7"/>
      <c r="N400" s="6"/>
    </row>
    <row r="401" ht="15.75" customHeight="1">
      <c r="C401" s="7"/>
      <c r="N401" s="6"/>
    </row>
    <row r="402" ht="15.75" customHeight="1">
      <c r="C402" s="7"/>
      <c r="N402" s="6"/>
    </row>
    <row r="403" ht="15.75" customHeight="1">
      <c r="C403" s="7"/>
      <c r="N403" s="6"/>
    </row>
    <row r="404" ht="15.75" customHeight="1">
      <c r="C404" s="7"/>
      <c r="N404" s="6"/>
    </row>
    <row r="405" ht="15.75" customHeight="1">
      <c r="C405" s="7"/>
      <c r="N405" s="6"/>
    </row>
    <row r="406" ht="15.75" customHeight="1">
      <c r="C406" s="7"/>
      <c r="N406" s="6"/>
    </row>
    <row r="407" ht="15.75" customHeight="1">
      <c r="C407" s="7"/>
      <c r="N407" s="6"/>
    </row>
    <row r="408" ht="15.75" customHeight="1">
      <c r="C408" s="7"/>
      <c r="N408" s="6"/>
    </row>
    <row r="409" ht="15.75" customHeight="1">
      <c r="C409" s="7"/>
      <c r="N409" s="6"/>
    </row>
    <row r="410" ht="15.75" customHeight="1">
      <c r="C410" s="7"/>
      <c r="N410" s="6"/>
    </row>
    <row r="411" ht="15.75" customHeight="1">
      <c r="C411" s="7"/>
      <c r="N411" s="6"/>
    </row>
    <row r="412" ht="15.75" customHeight="1">
      <c r="C412" s="7"/>
      <c r="N412" s="6"/>
    </row>
    <row r="413" ht="15.75" customHeight="1">
      <c r="C413" s="7"/>
      <c r="N413" s="6"/>
    </row>
    <row r="414" ht="15.75" customHeight="1">
      <c r="C414" s="7"/>
      <c r="N414" s="6"/>
    </row>
    <row r="415" ht="15.75" customHeight="1">
      <c r="C415" s="7"/>
      <c r="N415" s="6"/>
    </row>
    <row r="416" ht="15.75" customHeight="1">
      <c r="C416" s="7"/>
      <c r="N416" s="6"/>
    </row>
    <row r="417" ht="15.75" customHeight="1">
      <c r="C417" s="7"/>
      <c r="N417" s="6"/>
    </row>
    <row r="418" ht="15.75" customHeight="1">
      <c r="C418" s="7"/>
      <c r="N418" s="6"/>
    </row>
    <row r="419" ht="15.75" customHeight="1">
      <c r="C419" s="7"/>
      <c r="N419" s="6"/>
    </row>
    <row r="420" ht="15.75" customHeight="1">
      <c r="C420" s="7"/>
      <c r="N420" s="6"/>
    </row>
    <row r="421" ht="15.75" customHeight="1">
      <c r="C421" s="7"/>
      <c r="N421" s="6"/>
    </row>
    <row r="422" ht="15.75" customHeight="1">
      <c r="C422" s="7"/>
      <c r="N422" s="6"/>
    </row>
    <row r="423" ht="15.75" customHeight="1">
      <c r="C423" s="7"/>
      <c r="N423" s="6"/>
    </row>
    <row r="424" ht="15.75" customHeight="1">
      <c r="C424" s="7"/>
      <c r="N424" s="6"/>
    </row>
    <row r="425" ht="15.75" customHeight="1">
      <c r="C425" s="7"/>
      <c r="N425" s="6"/>
    </row>
    <row r="426" ht="15.75" customHeight="1">
      <c r="C426" s="7"/>
      <c r="N426" s="6"/>
    </row>
    <row r="427" ht="15.75" customHeight="1">
      <c r="C427" s="7"/>
      <c r="N427" s="6"/>
    </row>
    <row r="428" ht="15.75" customHeight="1">
      <c r="C428" s="7"/>
      <c r="N428" s="6"/>
    </row>
    <row r="429" ht="15.75" customHeight="1">
      <c r="C429" s="7"/>
      <c r="N429" s="6"/>
    </row>
    <row r="430" ht="15.75" customHeight="1">
      <c r="C430" s="7"/>
      <c r="N430" s="6"/>
    </row>
    <row r="431" ht="15.75" customHeight="1">
      <c r="C431" s="7"/>
      <c r="N431" s="6"/>
    </row>
    <row r="432" ht="15.75" customHeight="1">
      <c r="C432" s="7"/>
      <c r="N432" s="6"/>
    </row>
    <row r="433" ht="15.75" customHeight="1">
      <c r="C433" s="7"/>
      <c r="N433" s="6"/>
    </row>
    <row r="434" ht="15.75" customHeight="1">
      <c r="C434" s="7"/>
      <c r="N434" s="6"/>
    </row>
    <row r="435" ht="15.75" customHeight="1">
      <c r="C435" s="7"/>
      <c r="N435" s="6"/>
    </row>
    <row r="436" ht="15.75" customHeight="1">
      <c r="C436" s="7"/>
      <c r="N436" s="6"/>
    </row>
    <row r="437" ht="15.75" customHeight="1">
      <c r="C437" s="7"/>
      <c r="N437" s="6"/>
    </row>
    <row r="438" ht="15.75" customHeight="1">
      <c r="C438" s="7"/>
      <c r="N438" s="6"/>
    </row>
    <row r="439" ht="15.75" customHeight="1">
      <c r="C439" s="7"/>
      <c r="N439" s="6"/>
    </row>
    <row r="440" ht="15.75" customHeight="1">
      <c r="C440" s="7"/>
      <c r="N440" s="6"/>
    </row>
    <row r="441" ht="15.75" customHeight="1">
      <c r="C441" s="7"/>
      <c r="N441" s="6"/>
    </row>
    <row r="442" ht="15.75" customHeight="1">
      <c r="C442" s="7"/>
      <c r="N442" s="6"/>
    </row>
    <row r="443" ht="15.75" customHeight="1">
      <c r="C443" s="7"/>
      <c r="N443" s="6"/>
    </row>
    <row r="444" ht="15.75" customHeight="1">
      <c r="C444" s="7"/>
      <c r="N444" s="6"/>
    </row>
    <row r="445" ht="15.75" customHeight="1">
      <c r="C445" s="7"/>
      <c r="N445" s="6"/>
    </row>
    <row r="446" ht="15.75" customHeight="1">
      <c r="C446" s="7"/>
      <c r="N446" s="6"/>
    </row>
    <row r="447" ht="15.75" customHeight="1">
      <c r="C447" s="7"/>
      <c r="N447" s="6"/>
    </row>
    <row r="448" ht="15.75" customHeight="1">
      <c r="C448" s="7"/>
      <c r="N448" s="6"/>
    </row>
    <row r="449" ht="15.75" customHeight="1">
      <c r="C449" s="7"/>
      <c r="N449" s="6"/>
    </row>
    <row r="450" ht="15.75" customHeight="1">
      <c r="C450" s="7"/>
      <c r="N450" s="6"/>
    </row>
    <row r="451" ht="15.75" customHeight="1">
      <c r="C451" s="7"/>
      <c r="N451" s="6"/>
    </row>
    <row r="452" ht="15.75" customHeight="1">
      <c r="C452" s="7"/>
      <c r="N452" s="6"/>
    </row>
    <row r="453" ht="15.75" customHeight="1">
      <c r="C453" s="7"/>
      <c r="N453" s="6"/>
    </row>
    <row r="454" ht="15.75" customHeight="1">
      <c r="C454" s="7"/>
      <c r="N454" s="6"/>
    </row>
    <row r="455" ht="15.75" customHeight="1">
      <c r="C455" s="7"/>
      <c r="N455" s="6"/>
    </row>
    <row r="456" ht="15.75" customHeight="1">
      <c r="C456" s="7"/>
      <c r="N456" s="6"/>
    </row>
    <row r="457" ht="15.75" customHeight="1">
      <c r="C457" s="7"/>
      <c r="N457" s="6"/>
    </row>
    <row r="458" ht="15.75" customHeight="1">
      <c r="C458" s="7"/>
      <c r="N458" s="6"/>
    </row>
    <row r="459" ht="15.75" customHeight="1">
      <c r="C459" s="7"/>
      <c r="N459" s="6"/>
    </row>
    <row r="460" ht="15.75" customHeight="1">
      <c r="C460" s="7"/>
      <c r="N460" s="6"/>
    </row>
    <row r="461" ht="15.75" customHeight="1">
      <c r="C461" s="7"/>
      <c r="N461" s="6"/>
    </row>
    <row r="462" ht="15.75" customHeight="1">
      <c r="C462" s="7"/>
      <c r="N462" s="6"/>
    </row>
    <row r="463" ht="15.75" customHeight="1">
      <c r="C463" s="7"/>
      <c r="N463" s="6"/>
    </row>
    <row r="464" ht="15.75" customHeight="1">
      <c r="C464" s="7"/>
      <c r="N464" s="6"/>
    </row>
    <row r="465" ht="15.75" customHeight="1">
      <c r="C465" s="7"/>
      <c r="N465" s="6"/>
    </row>
    <row r="466" ht="15.75" customHeight="1">
      <c r="C466" s="7"/>
      <c r="N466" s="6"/>
    </row>
    <row r="467" ht="15.75" customHeight="1">
      <c r="C467" s="7"/>
      <c r="N467" s="6"/>
    </row>
    <row r="468" ht="15.75" customHeight="1">
      <c r="C468" s="7"/>
      <c r="N468" s="6"/>
    </row>
    <row r="469" ht="15.75" customHeight="1">
      <c r="C469" s="7"/>
      <c r="N469" s="6"/>
    </row>
    <row r="470" ht="15.75" customHeight="1">
      <c r="C470" s="7"/>
      <c r="N470" s="6"/>
    </row>
    <row r="471" ht="15.75" customHeight="1">
      <c r="C471" s="7"/>
      <c r="N471" s="6"/>
    </row>
    <row r="472" ht="15.75" customHeight="1">
      <c r="C472" s="7"/>
      <c r="N472" s="6"/>
    </row>
    <row r="473" ht="15.75" customHeight="1">
      <c r="C473" s="7"/>
      <c r="N473" s="6"/>
    </row>
    <row r="474" ht="15.75" customHeight="1">
      <c r="C474" s="7"/>
      <c r="N474" s="6"/>
    </row>
    <row r="475" ht="15.75" customHeight="1">
      <c r="C475" s="7"/>
      <c r="N475" s="6"/>
    </row>
    <row r="476" ht="15.75" customHeight="1">
      <c r="C476" s="7"/>
      <c r="N476" s="6"/>
    </row>
    <row r="477" ht="15.75" customHeight="1">
      <c r="C477" s="7"/>
      <c r="N477" s="6"/>
    </row>
    <row r="478" ht="15.75" customHeight="1">
      <c r="C478" s="7"/>
      <c r="N478" s="6"/>
    </row>
    <row r="479" ht="15.75" customHeight="1">
      <c r="C479" s="7"/>
      <c r="N479" s="6"/>
    </row>
    <row r="480" ht="15.75" customHeight="1">
      <c r="C480" s="7"/>
      <c r="N480" s="6"/>
    </row>
    <row r="481" ht="15.75" customHeight="1">
      <c r="C481" s="7"/>
      <c r="N481" s="6"/>
    </row>
    <row r="482" ht="15.75" customHeight="1">
      <c r="C482" s="7"/>
      <c r="N482" s="6"/>
    </row>
    <row r="483" ht="15.75" customHeight="1">
      <c r="C483" s="7"/>
      <c r="N483" s="6"/>
    </row>
    <row r="484" ht="15.75" customHeight="1">
      <c r="C484" s="7"/>
      <c r="N484" s="6"/>
    </row>
    <row r="485" ht="15.75" customHeight="1">
      <c r="C485" s="7"/>
      <c r="N485" s="6"/>
    </row>
    <row r="486" ht="15.75" customHeight="1">
      <c r="C486" s="7"/>
      <c r="N486" s="6"/>
    </row>
    <row r="487" ht="15.75" customHeight="1">
      <c r="C487" s="7"/>
      <c r="N487" s="6"/>
    </row>
    <row r="488" ht="15.75" customHeight="1">
      <c r="C488" s="7"/>
      <c r="N488" s="6"/>
    </row>
    <row r="489" ht="15.75" customHeight="1">
      <c r="C489" s="7"/>
      <c r="N489" s="6"/>
    </row>
    <row r="490" ht="15.75" customHeight="1">
      <c r="C490" s="7"/>
      <c r="N490" s="6"/>
    </row>
    <row r="491" ht="15.75" customHeight="1">
      <c r="C491" s="7"/>
      <c r="N491" s="6"/>
    </row>
    <row r="492" ht="15.75" customHeight="1">
      <c r="C492" s="7"/>
      <c r="N492" s="6"/>
    </row>
    <row r="493" ht="15.75" customHeight="1">
      <c r="C493" s="7"/>
      <c r="N493" s="6"/>
    </row>
    <row r="494" ht="15.75" customHeight="1">
      <c r="C494" s="7"/>
      <c r="N494" s="6"/>
    </row>
    <row r="495" ht="15.75" customHeight="1">
      <c r="C495" s="7"/>
      <c r="N495" s="6"/>
    </row>
    <row r="496" ht="15.75" customHeight="1">
      <c r="C496" s="7"/>
      <c r="N496" s="6"/>
    </row>
    <row r="497" ht="15.75" customHeight="1">
      <c r="C497" s="7"/>
      <c r="N497" s="6"/>
    </row>
    <row r="498" ht="15.75" customHeight="1">
      <c r="C498" s="7"/>
      <c r="N498" s="6"/>
    </row>
    <row r="499" ht="15.75" customHeight="1">
      <c r="C499" s="7"/>
      <c r="N499" s="6"/>
    </row>
    <row r="500" ht="15.75" customHeight="1">
      <c r="C500" s="7"/>
      <c r="N500" s="6"/>
    </row>
    <row r="501" ht="15.75" customHeight="1">
      <c r="C501" s="7"/>
      <c r="N501" s="6"/>
    </row>
    <row r="502" ht="15.75" customHeight="1">
      <c r="C502" s="7"/>
      <c r="N502" s="6"/>
    </row>
    <row r="503" ht="15.75" customHeight="1">
      <c r="C503" s="7"/>
      <c r="N503" s="6"/>
    </row>
    <row r="504" ht="15.75" customHeight="1">
      <c r="C504" s="7"/>
      <c r="N504" s="6"/>
    </row>
    <row r="505" ht="15.75" customHeight="1">
      <c r="C505" s="7"/>
      <c r="N505" s="6"/>
    </row>
    <row r="506" ht="15.75" customHeight="1">
      <c r="C506" s="7"/>
      <c r="N506" s="6"/>
    </row>
    <row r="507" ht="15.75" customHeight="1">
      <c r="C507" s="7"/>
      <c r="N507" s="6"/>
    </row>
    <row r="508" ht="15.75" customHeight="1">
      <c r="C508" s="7"/>
      <c r="N508" s="6"/>
    </row>
    <row r="509" ht="15.75" customHeight="1">
      <c r="C509" s="7"/>
      <c r="N509" s="6"/>
    </row>
    <row r="510" ht="15.75" customHeight="1">
      <c r="C510" s="7"/>
      <c r="N510" s="6"/>
    </row>
    <row r="511" ht="15.75" customHeight="1">
      <c r="C511" s="7"/>
      <c r="N511" s="6"/>
    </row>
    <row r="512" ht="15.75" customHeight="1">
      <c r="C512" s="7"/>
      <c r="N512" s="6"/>
    </row>
    <row r="513" ht="15.75" customHeight="1">
      <c r="C513" s="7"/>
      <c r="N513" s="6"/>
    </row>
    <row r="514" ht="15.75" customHeight="1">
      <c r="C514" s="7"/>
      <c r="N514" s="6"/>
    </row>
    <row r="515" ht="15.75" customHeight="1">
      <c r="C515" s="7"/>
      <c r="N515" s="6"/>
    </row>
    <row r="516" ht="15.75" customHeight="1">
      <c r="C516" s="7"/>
      <c r="N516" s="6"/>
    </row>
    <row r="517" ht="15.75" customHeight="1">
      <c r="C517" s="7"/>
      <c r="N517" s="6"/>
    </row>
    <row r="518" ht="15.75" customHeight="1">
      <c r="C518" s="7"/>
      <c r="N518" s="6"/>
    </row>
    <row r="519" ht="15.75" customHeight="1">
      <c r="C519" s="7"/>
      <c r="N519" s="6"/>
    </row>
    <row r="520" ht="15.75" customHeight="1">
      <c r="C520" s="7"/>
      <c r="N520" s="6"/>
    </row>
    <row r="521" ht="15.75" customHeight="1">
      <c r="C521" s="7"/>
      <c r="N521" s="6"/>
    </row>
    <row r="522" ht="15.75" customHeight="1">
      <c r="C522" s="7"/>
      <c r="N522" s="6"/>
    </row>
    <row r="523" ht="15.75" customHeight="1">
      <c r="C523" s="7"/>
      <c r="N523" s="6"/>
    </row>
    <row r="524" ht="15.75" customHeight="1">
      <c r="C524" s="7"/>
      <c r="N524" s="6"/>
    </row>
    <row r="525" ht="15.75" customHeight="1">
      <c r="C525" s="7"/>
      <c r="N525" s="6"/>
    </row>
    <row r="526" ht="15.75" customHeight="1">
      <c r="C526" s="7"/>
      <c r="N526" s="6"/>
    </row>
    <row r="527" ht="15.75" customHeight="1">
      <c r="C527" s="7"/>
      <c r="N527" s="6"/>
    </row>
    <row r="528" ht="15.75" customHeight="1">
      <c r="C528" s="7"/>
      <c r="N528" s="6"/>
    </row>
    <row r="529" ht="15.75" customHeight="1">
      <c r="C529" s="7"/>
      <c r="N529" s="6"/>
    </row>
    <row r="530" ht="15.75" customHeight="1">
      <c r="C530" s="7"/>
      <c r="N530" s="6"/>
    </row>
    <row r="531" ht="15.75" customHeight="1">
      <c r="C531" s="7"/>
      <c r="N531" s="6"/>
    </row>
    <row r="532" ht="15.75" customHeight="1">
      <c r="C532" s="7"/>
      <c r="N532" s="6"/>
    </row>
    <row r="533" ht="15.75" customHeight="1">
      <c r="C533" s="7"/>
      <c r="N533" s="6"/>
    </row>
    <row r="534" ht="15.75" customHeight="1">
      <c r="C534" s="7"/>
      <c r="N534" s="6"/>
    </row>
    <row r="535" ht="15.75" customHeight="1">
      <c r="C535" s="7"/>
      <c r="N535" s="6"/>
    </row>
    <row r="536" ht="15.75" customHeight="1">
      <c r="C536" s="7"/>
      <c r="N536" s="6"/>
    </row>
    <row r="537" ht="15.75" customHeight="1">
      <c r="C537" s="7"/>
      <c r="N537" s="6"/>
    </row>
    <row r="538" ht="15.75" customHeight="1">
      <c r="C538" s="7"/>
      <c r="N538" s="6"/>
    </row>
    <row r="539" ht="15.75" customHeight="1">
      <c r="C539" s="7"/>
      <c r="N539" s="6"/>
    </row>
    <row r="540" ht="15.75" customHeight="1">
      <c r="C540" s="7"/>
      <c r="N540" s="6"/>
    </row>
    <row r="541" ht="15.75" customHeight="1">
      <c r="C541" s="7"/>
      <c r="N541" s="6"/>
    </row>
    <row r="542" ht="15.75" customHeight="1">
      <c r="C542" s="7"/>
      <c r="N542" s="6"/>
    </row>
    <row r="543" ht="15.75" customHeight="1">
      <c r="C543" s="7"/>
      <c r="N543" s="6"/>
    </row>
    <row r="544" ht="15.75" customHeight="1">
      <c r="C544" s="7"/>
      <c r="N544" s="6"/>
    </row>
    <row r="545" ht="15.75" customHeight="1">
      <c r="C545" s="7"/>
      <c r="N545" s="6"/>
    </row>
    <row r="546" ht="15.75" customHeight="1">
      <c r="C546" s="7"/>
      <c r="N546" s="6"/>
    </row>
    <row r="547" ht="15.75" customHeight="1">
      <c r="C547" s="7"/>
      <c r="N547" s="6"/>
    </row>
    <row r="548" ht="15.75" customHeight="1">
      <c r="C548" s="7"/>
      <c r="N548" s="6"/>
    </row>
    <row r="549" ht="15.75" customHeight="1">
      <c r="C549" s="7"/>
      <c r="N549" s="6"/>
    </row>
    <row r="550" ht="15.75" customHeight="1">
      <c r="C550" s="7"/>
      <c r="N550" s="6"/>
    </row>
    <row r="551" ht="15.75" customHeight="1">
      <c r="C551" s="7"/>
      <c r="N551" s="6"/>
    </row>
    <row r="552" ht="15.75" customHeight="1">
      <c r="C552" s="7"/>
      <c r="N552" s="6"/>
    </row>
    <row r="553" ht="15.75" customHeight="1">
      <c r="C553" s="7"/>
      <c r="N553" s="6"/>
    </row>
    <row r="554" ht="15.75" customHeight="1">
      <c r="C554" s="7"/>
      <c r="N554" s="6"/>
    </row>
    <row r="555" ht="15.75" customHeight="1">
      <c r="C555" s="7"/>
      <c r="N555" s="6"/>
    </row>
    <row r="556" ht="15.75" customHeight="1">
      <c r="C556" s="7"/>
      <c r="N556" s="6"/>
    </row>
    <row r="557" ht="15.75" customHeight="1">
      <c r="C557" s="7"/>
      <c r="N557" s="6"/>
    </row>
    <row r="558" ht="15.75" customHeight="1">
      <c r="C558" s="7"/>
      <c r="N558" s="6"/>
    </row>
    <row r="559" ht="15.75" customHeight="1">
      <c r="C559" s="7"/>
      <c r="N559" s="6"/>
    </row>
    <row r="560" ht="15.75" customHeight="1">
      <c r="C560" s="7"/>
      <c r="N560" s="6"/>
    </row>
    <row r="561" ht="15.75" customHeight="1">
      <c r="C561" s="7"/>
      <c r="N561" s="6"/>
    </row>
    <row r="562" ht="15.75" customHeight="1">
      <c r="C562" s="7"/>
      <c r="N562" s="6"/>
    </row>
    <row r="563" ht="15.75" customHeight="1">
      <c r="C563" s="7"/>
      <c r="N563" s="6"/>
    </row>
    <row r="564" ht="15.75" customHeight="1">
      <c r="C564" s="7"/>
      <c r="N564" s="6"/>
    </row>
    <row r="565" ht="15.75" customHeight="1">
      <c r="C565" s="7"/>
      <c r="N565" s="6"/>
    </row>
    <row r="566" ht="15.75" customHeight="1">
      <c r="C566" s="7"/>
      <c r="N566" s="6"/>
    </row>
    <row r="567" ht="15.75" customHeight="1">
      <c r="C567" s="7"/>
      <c r="N567" s="6"/>
    </row>
    <row r="568" ht="15.75" customHeight="1">
      <c r="C568" s="7"/>
      <c r="N568" s="6"/>
    </row>
    <row r="569" ht="15.75" customHeight="1">
      <c r="C569" s="7"/>
      <c r="N569" s="6"/>
    </row>
    <row r="570" ht="15.75" customHeight="1">
      <c r="C570" s="7"/>
      <c r="N570" s="6"/>
    </row>
    <row r="571" ht="15.75" customHeight="1">
      <c r="C571" s="7"/>
      <c r="N571" s="6"/>
    </row>
    <row r="572" ht="15.75" customHeight="1">
      <c r="C572" s="7"/>
      <c r="N572" s="6"/>
    </row>
    <row r="573" ht="15.75" customHeight="1">
      <c r="C573" s="7"/>
      <c r="N573" s="6"/>
    </row>
    <row r="574" ht="15.75" customHeight="1">
      <c r="C574" s="7"/>
      <c r="N574" s="6"/>
    </row>
    <row r="575" ht="15.75" customHeight="1">
      <c r="C575" s="7"/>
      <c r="N575" s="6"/>
    </row>
    <row r="576" ht="15.75" customHeight="1">
      <c r="C576" s="7"/>
      <c r="N576" s="6"/>
    </row>
    <row r="577" ht="15.75" customHeight="1">
      <c r="C577" s="7"/>
      <c r="N577" s="6"/>
    </row>
    <row r="578" ht="15.75" customHeight="1">
      <c r="C578" s="7"/>
      <c r="N578" s="6"/>
    </row>
    <row r="579" ht="15.75" customHeight="1">
      <c r="C579" s="7"/>
      <c r="N579" s="6"/>
    </row>
    <row r="580" ht="15.75" customHeight="1">
      <c r="C580" s="7"/>
      <c r="N580" s="6"/>
    </row>
    <row r="581" ht="15.75" customHeight="1">
      <c r="C581" s="7"/>
      <c r="N581" s="6"/>
    </row>
    <row r="582" ht="15.75" customHeight="1">
      <c r="C582" s="7"/>
      <c r="N582" s="6"/>
    </row>
    <row r="583" ht="15.75" customHeight="1">
      <c r="C583" s="7"/>
      <c r="N583" s="6"/>
    </row>
    <row r="584" ht="15.75" customHeight="1">
      <c r="C584" s="7"/>
      <c r="N584" s="6"/>
    </row>
    <row r="585" ht="15.75" customHeight="1">
      <c r="C585" s="7"/>
      <c r="N585" s="6"/>
    </row>
    <row r="586" ht="15.75" customHeight="1">
      <c r="C586" s="7"/>
      <c r="N586" s="6"/>
    </row>
    <row r="587" ht="15.75" customHeight="1">
      <c r="C587" s="7"/>
      <c r="N587" s="6"/>
    </row>
    <row r="588" ht="15.75" customHeight="1">
      <c r="C588" s="7"/>
      <c r="N588" s="6"/>
    </row>
    <row r="589" ht="15.75" customHeight="1">
      <c r="C589" s="7"/>
      <c r="N589" s="6"/>
    </row>
    <row r="590" ht="15.75" customHeight="1">
      <c r="C590" s="7"/>
      <c r="N590" s="6"/>
    </row>
    <row r="591" ht="15.75" customHeight="1">
      <c r="C591" s="7"/>
      <c r="N591" s="6"/>
    </row>
    <row r="592" ht="15.75" customHeight="1">
      <c r="C592" s="7"/>
      <c r="N592" s="6"/>
    </row>
    <row r="593" ht="15.75" customHeight="1">
      <c r="C593" s="7"/>
      <c r="N593" s="6"/>
    </row>
    <row r="594" ht="15.75" customHeight="1">
      <c r="C594" s="7"/>
      <c r="N594" s="6"/>
    </row>
    <row r="595" ht="15.75" customHeight="1">
      <c r="C595" s="7"/>
      <c r="N595" s="6"/>
    </row>
    <row r="596" ht="15.75" customHeight="1">
      <c r="C596" s="7"/>
      <c r="N596" s="6"/>
    </row>
    <row r="597" ht="15.75" customHeight="1">
      <c r="C597" s="7"/>
      <c r="N597" s="6"/>
    </row>
    <row r="598" ht="15.75" customHeight="1">
      <c r="C598" s="7"/>
      <c r="N598" s="6"/>
    </row>
    <row r="599" ht="15.75" customHeight="1">
      <c r="C599" s="7"/>
      <c r="N599" s="6"/>
    </row>
    <row r="600" ht="15.75" customHeight="1">
      <c r="C600" s="7"/>
      <c r="N600" s="6"/>
    </row>
    <row r="601" ht="15.75" customHeight="1">
      <c r="C601" s="7"/>
      <c r="N601" s="6"/>
    </row>
    <row r="602" ht="15.75" customHeight="1">
      <c r="C602" s="7"/>
      <c r="N602" s="6"/>
    </row>
    <row r="603" ht="15.75" customHeight="1">
      <c r="C603" s="7"/>
      <c r="N603" s="6"/>
    </row>
    <row r="604" ht="15.75" customHeight="1">
      <c r="C604" s="7"/>
      <c r="N604" s="6"/>
    </row>
    <row r="605" ht="15.75" customHeight="1">
      <c r="C605" s="7"/>
      <c r="N605" s="6"/>
    </row>
    <row r="606" ht="15.75" customHeight="1">
      <c r="C606" s="7"/>
      <c r="N606" s="6"/>
    </row>
    <row r="607" ht="15.75" customHeight="1">
      <c r="C607" s="7"/>
      <c r="N607" s="6"/>
    </row>
    <row r="608" ht="15.75" customHeight="1">
      <c r="C608" s="7"/>
      <c r="N608" s="6"/>
    </row>
    <row r="609" ht="15.75" customHeight="1">
      <c r="C609" s="7"/>
      <c r="N609" s="6"/>
    </row>
    <row r="610" ht="15.75" customHeight="1">
      <c r="C610" s="7"/>
      <c r="N610" s="6"/>
    </row>
    <row r="611" ht="15.75" customHeight="1">
      <c r="C611" s="7"/>
      <c r="N611" s="6"/>
    </row>
    <row r="612" ht="15.75" customHeight="1">
      <c r="C612" s="7"/>
      <c r="N612" s="6"/>
    </row>
    <row r="613" ht="15.75" customHeight="1">
      <c r="C613" s="7"/>
      <c r="N613" s="6"/>
    </row>
    <row r="614" ht="15.75" customHeight="1">
      <c r="C614" s="7"/>
      <c r="N614" s="6"/>
    </row>
    <row r="615" ht="15.75" customHeight="1">
      <c r="C615" s="7"/>
      <c r="N615" s="6"/>
    </row>
    <row r="616" ht="15.75" customHeight="1">
      <c r="C616" s="7"/>
      <c r="N616" s="6"/>
    </row>
    <row r="617" ht="15.75" customHeight="1">
      <c r="C617" s="7"/>
      <c r="N617" s="6"/>
    </row>
    <row r="618" ht="15.75" customHeight="1">
      <c r="C618" s="7"/>
      <c r="N618" s="6"/>
    </row>
    <row r="619" ht="15.75" customHeight="1">
      <c r="C619" s="7"/>
      <c r="N619" s="6"/>
    </row>
    <row r="620" ht="15.75" customHeight="1">
      <c r="C620" s="7"/>
      <c r="N620" s="6"/>
    </row>
    <row r="621" ht="15.75" customHeight="1">
      <c r="C621" s="7"/>
      <c r="N621" s="6"/>
    </row>
    <row r="622" ht="15.75" customHeight="1">
      <c r="C622" s="7"/>
      <c r="N622" s="6"/>
    </row>
    <row r="623" ht="15.75" customHeight="1">
      <c r="C623" s="7"/>
      <c r="N623" s="6"/>
    </row>
    <row r="624" ht="15.75" customHeight="1">
      <c r="C624" s="7"/>
      <c r="N624" s="6"/>
    </row>
    <row r="625" ht="15.75" customHeight="1">
      <c r="C625" s="7"/>
      <c r="N625" s="6"/>
    </row>
    <row r="626" ht="15.75" customHeight="1">
      <c r="C626" s="7"/>
      <c r="N626" s="6"/>
    </row>
    <row r="627" ht="15.75" customHeight="1">
      <c r="C627" s="7"/>
      <c r="N627" s="6"/>
    </row>
    <row r="628" ht="15.75" customHeight="1">
      <c r="C628" s="7"/>
      <c r="N628" s="6"/>
    </row>
    <row r="629" ht="15.75" customHeight="1">
      <c r="C629" s="7"/>
      <c r="N629" s="6"/>
    </row>
    <row r="630" ht="15.75" customHeight="1">
      <c r="C630" s="7"/>
      <c r="N630" s="6"/>
    </row>
    <row r="631" ht="15.75" customHeight="1">
      <c r="C631" s="7"/>
      <c r="N631" s="6"/>
    </row>
    <row r="632" ht="15.75" customHeight="1">
      <c r="C632" s="7"/>
      <c r="N632" s="6"/>
    </row>
    <row r="633" ht="15.75" customHeight="1">
      <c r="C633" s="7"/>
      <c r="N633" s="6"/>
    </row>
    <row r="634" ht="15.75" customHeight="1">
      <c r="C634" s="7"/>
      <c r="N634" s="6"/>
    </row>
    <row r="635" ht="15.75" customHeight="1">
      <c r="C635" s="7"/>
      <c r="N635" s="6"/>
    </row>
    <row r="636" ht="15.75" customHeight="1">
      <c r="C636" s="7"/>
      <c r="N636" s="6"/>
    </row>
    <row r="637" ht="15.75" customHeight="1">
      <c r="C637" s="7"/>
      <c r="N637" s="6"/>
    </row>
    <row r="638" ht="15.75" customHeight="1">
      <c r="C638" s="7"/>
      <c r="N638" s="6"/>
    </row>
    <row r="639" ht="15.75" customHeight="1">
      <c r="C639" s="7"/>
      <c r="N639" s="6"/>
    </row>
    <row r="640" ht="15.75" customHeight="1">
      <c r="C640" s="7"/>
      <c r="N640" s="6"/>
    </row>
    <row r="641" ht="15.75" customHeight="1">
      <c r="C641" s="7"/>
      <c r="N641" s="6"/>
    </row>
    <row r="642" ht="15.75" customHeight="1">
      <c r="C642" s="7"/>
      <c r="N642" s="6"/>
    </row>
    <row r="643" ht="15.75" customHeight="1">
      <c r="C643" s="7"/>
      <c r="N643" s="6"/>
    </row>
    <row r="644" ht="15.75" customHeight="1">
      <c r="C644" s="7"/>
      <c r="N644" s="6"/>
    </row>
    <row r="645" ht="15.75" customHeight="1">
      <c r="C645" s="7"/>
      <c r="N645" s="6"/>
    </row>
    <row r="646" ht="15.75" customHeight="1">
      <c r="C646" s="7"/>
      <c r="N646" s="6"/>
    </row>
    <row r="647" ht="15.75" customHeight="1">
      <c r="C647" s="7"/>
      <c r="N647" s="6"/>
    </row>
    <row r="648" ht="15.75" customHeight="1">
      <c r="C648" s="7"/>
      <c r="N648" s="6"/>
    </row>
    <row r="649" ht="15.75" customHeight="1">
      <c r="C649" s="7"/>
      <c r="N649" s="6"/>
    </row>
    <row r="650" ht="15.75" customHeight="1">
      <c r="C650" s="7"/>
      <c r="N650" s="6"/>
    </row>
    <row r="651" ht="15.75" customHeight="1">
      <c r="C651" s="7"/>
      <c r="N651" s="6"/>
    </row>
    <row r="652" ht="15.75" customHeight="1">
      <c r="C652" s="7"/>
      <c r="N652" s="6"/>
    </row>
    <row r="653" ht="15.75" customHeight="1">
      <c r="C653" s="7"/>
      <c r="N653" s="6"/>
    </row>
    <row r="654" ht="15.75" customHeight="1">
      <c r="C654" s="7"/>
      <c r="N654" s="6"/>
    </row>
    <row r="655" ht="15.75" customHeight="1">
      <c r="C655" s="7"/>
      <c r="N655" s="6"/>
    </row>
    <row r="656" ht="15.75" customHeight="1">
      <c r="C656" s="7"/>
      <c r="N656" s="6"/>
    </row>
    <row r="657" ht="15.75" customHeight="1">
      <c r="C657" s="7"/>
      <c r="N657" s="6"/>
    </row>
    <row r="658" ht="15.75" customHeight="1">
      <c r="C658" s="7"/>
      <c r="N658" s="6"/>
    </row>
    <row r="659" ht="15.75" customHeight="1">
      <c r="C659" s="7"/>
      <c r="N659" s="6"/>
    </row>
    <row r="660" ht="15.75" customHeight="1">
      <c r="C660" s="7"/>
      <c r="N660" s="6"/>
    </row>
    <row r="661" ht="15.75" customHeight="1">
      <c r="C661" s="7"/>
      <c r="N661" s="6"/>
    </row>
    <row r="662" ht="15.75" customHeight="1">
      <c r="C662" s="7"/>
      <c r="N662" s="6"/>
    </row>
    <row r="663" ht="15.75" customHeight="1">
      <c r="C663" s="7"/>
      <c r="N663" s="6"/>
    </row>
    <row r="664" ht="15.75" customHeight="1">
      <c r="C664" s="7"/>
      <c r="N664" s="6"/>
    </row>
    <row r="665" ht="15.75" customHeight="1">
      <c r="C665" s="7"/>
      <c r="N665" s="6"/>
    </row>
    <row r="666" ht="15.75" customHeight="1">
      <c r="C666" s="7"/>
      <c r="N666" s="6"/>
    </row>
    <row r="667" ht="15.75" customHeight="1">
      <c r="C667" s="7"/>
      <c r="N667" s="6"/>
    </row>
    <row r="668" ht="15.75" customHeight="1">
      <c r="C668" s="7"/>
      <c r="N668" s="6"/>
    </row>
    <row r="669" ht="15.75" customHeight="1">
      <c r="C669" s="7"/>
      <c r="N669" s="6"/>
    </row>
    <row r="670" ht="15.75" customHeight="1">
      <c r="C670" s="7"/>
      <c r="N670" s="6"/>
    </row>
    <row r="671" ht="15.75" customHeight="1">
      <c r="C671" s="7"/>
      <c r="N671" s="6"/>
    </row>
    <row r="672" ht="15.75" customHeight="1">
      <c r="C672" s="7"/>
      <c r="N672" s="6"/>
    </row>
    <row r="673" ht="15.75" customHeight="1">
      <c r="C673" s="7"/>
      <c r="N673" s="6"/>
    </row>
    <row r="674" ht="15.75" customHeight="1">
      <c r="C674" s="7"/>
      <c r="N674" s="6"/>
    </row>
    <row r="675" ht="15.75" customHeight="1">
      <c r="C675" s="7"/>
      <c r="N675" s="6"/>
    </row>
    <row r="676" ht="15.75" customHeight="1">
      <c r="C676" s="7"/>
      <c r="N676" s="6"/>
    </row>
    <row r="677" ht="15.75" customHeight="1">
      <c r="C677" s="7"/>
      <c r="N677" s="6"/>
    </row>
    <row r="678" ht="15.75" customHeight="1">
      <c r="C678" s="7"/>
      <c r="N678" s="6"/>
    </row>
    <row r="679" ht="15.75" customHeight="1">
      <c r="C679" s="7"/>
      <c r="N679" s="6"/>
    </row>
    <row r="680" ht="15.75" customHeight="1">
      <c r="C680" s="7"/>
      <c r="N680" s="6"/>
    </row>
    <row r="681" ht="15.75" customHeight="1">
      <c r="C681" s="7"/>
      <c r="N681" s="6"/>
    </row>
    <row r="682" ht="15.75" customHeight="1">
      <c r="C682" s="7"/>
      <c r="N682" s="6"/>
    </row>
    <row r="683" ht="15.75" customHeight="1">
      <c r="C683" s="7"/>
      <c r="N683" s="6"/>
    </row>
    <row r="684" ht="15.75" customHeight="1">
      <c r="C684" s="7"/>
      <c r="N684" s="6"/>
    </row>
    <row r="685" ht="15.75" customHeight="1">
      <c r="C685" s="7"/>
      <c r="N685" s="6"/>
    </row>
    <row r="686" ht="15.75" customHeight="1">
      <c r="C686" s="7"/>
      <c r="N686" s="6"/>
    </row>
    <row r="687" ht="15.75" customHeight="1">
      <c r="C687" s="7"/>
      <c r="N687" s="6"/>
    </row>
    <row r="688" ht="15.75" customHeight="1">
      <c r="C688" s="7"/>
      <c r="N688" s="6"/>
    </row>
    <row r="689" ht="15.75" customHeight="1">
      <c r="C689" s="7"/>
      <c r="N689" s="6"/>
    </row>
    <row r="690" ht="15.75" customHeight="1">
      <c r="C690" s="7"/>
      <c r="N690" s="6"/>
    </row>
    <row r="691" ht="15.75" customHeight="1">
      <c r="C691" s="7"/>
      <c r="N691" s="6"/>
    </row>
    <row r="692" ht="15.75" customHeight="1">
      <c r="C692" s="7"/>
      <c r="N692" s="6"/>
    </row>
    <row r="693" ht="15.75" customHeight="1">
      <c r="C693" s="7"/>
      <c r="N693" s="6"/>
    </row>
    <row r="694" ht="15.75" customHeight="1">
      <c r="C694" s="7"/>
      <c r="N694" s="6"/>
    </row>
    <row r="695" ht="15.75" customHeight="1">
      <c r="C695" s="7"/>
      <c r="N695" s="6"/>
    </row>
    <row r="696" ht="15.75" customHeight="1">
      <c r="C696" s="7"/>
      <c r="N696" s="6"/>
    </row>
    <row r="697" ht="15.75" customHeight="1">
      <c r="C697" s="7"/>
      <c r="N697" s="6"/>
    </row>
    <row r="698" ht="15.75" customHeight="1">
      <c r="C698" s="7"/>
      <c r="N698" s="6"/>
    </row>
    <row r="699" ht="15.75" customHeight="1">
      <c r="C699" s="7"/>
      <c r="N699" s="6"/>
    </row>
    <row r="700" ht="15.75" customHeight="1">
      <c r="C700" s="7"/>
      <c r="N700" s="6"/>
    </row>
    <row r="701" ht="15.75" customHeight="1">
      <c r="C701" s="7"/>
      <c r="N701" s="6"/>
    </row>
    <row r="702" ht="15.75" customHeight="1">
      <c r="C702" s="7"/>
      <c r="N702" s="6"/>
    </row>
    <row r="703" ht="15.75" customHeight="1">
      <c r="C703" s="7"/>
      <c r="N703" s="6"/>
    </row>
    <row r="704" ht="15.75" customHeight="1">
      <c r="C704" s="7"/>
      <c r="N704" s="6"/>
    </row>
    <row r="705" ht="15.75" customHeight="1">
      <c r="C705" s="7"/>
      <c r="N705" s="6"/>
    </row>
    <row r="706" ht="15.75" customHeight="1">
      <c r="C706" s="7"/>
      <c r="N706" s="6"/>
    </row>
    <row r="707" ht="15.75" customHeight="1">
      <c r="C707" s="7"/>
      <c r="N707" s="6"/>
    </row>
    <row r="708" ht="15.75" customHeight="1">
      <c r="C708" s="7"/>
      <c r="N708" s="6"/>
    </row>
    <row r="709" ht="15.75" customHeight="1">
      <c r="C709" s="7"/>
      <c r="N709" s="6"/>
    </row>
    <row r="710" ht="15.75" customHeight="1">
      <c r="C710" s="7"/>
      <c r="N710" s="6"/>
    </row>
    <row r="711" ht="15.75" customHeight="1">
      <c r="C711" s="7"/>
      <c r="N711" s="6"/>
    </row>
    <row r="712" ht="15.75" customHeight="1">
      <c r="C712" s="7"/>
      <c r="N712" s="6"/>
    </row>
    <row r="713" ht="15.75" customHeight="1">
      <c r="C713" s="7"/>
      <c r="N713" s="6"/>
    </row>
    <row r="714" ht="15.75" customHeight="1">
      <c r="C714" s="7"/>
      <c r="N714" s="6"/>
    </row>
    <row r="715" ht="15.75" customHeight="1">
      <c r="C715" s="7"/>
      <c r="N715" s="6"/>
    </row>
    <row r="716" ht="15.75" customHeight="1">
      <c r="C716" s="7"/>
      <c r="N716" s="6"/>
    </row>
    <row r="717" ht="15.75" customHeight="1">
      <c r="C717" s="7"/>
      <c r="N717" s="6"/>
    </row>
    <row r="718" ht="15.75" customHeight="1">
      <c r="C718" s="7"/>
      <c r="N718" s="6"/>
    </row>
    <row r="719" ht="15.75" customHeight="1">
      <c r="C719" s="7"/>
      <c r="N719" s="6"/>
    </row>
    <row r="720" ht="15.75" customHeight="1">
      <c r="C720" s="7"/>
      <c r="N720" s="6"/>
    </row>
    <row r="721" ht="15.75" customHeight="1">
      <c r="C721" s="7"/>
      <c r="N721" s="6"/>
    </row>
    <row r="722" ht="15.75" customHeight="1">
      <c r="C722" s="7"/>
      <c r="N722" s="6"/>
    </row>
    <row r="723" ht="15.75" customHeight="1">
      <c r="C723" s="7"/>
      <c r="N723" s="6"/>
    </row>
    <row r="724" ht="15.75" customHeight="1">
      <c r="C724" s="7"/>
      <c r="N724" s="6"/>
    </row>
    <row r="725" ht="15.75" customHeight="1">
      <c r="C725" s="7"/>
      <c r="N725" s="6"/>
    </row>
    <row r="726" ht="15.75" customHeight="1">
      <c r="C726" s="7"/>
      <c r="N726" s="6"/>
    </row>
    <row r="727" ht="15.75" customHeight="1">
      <c r="C727" s="7"/>
      <c r="N727" s="6"/>
    </row>
    <row r="728" ht="15.75" customHeight="1">
      <c r="C728" s="7"/>
      <c r="N728" s="6"/>
    </row>
    <row r="729" ht="15.75" customHeight="1">
      <c r="C729" s="7"/>
      <c r="N729" s="6"/>
    </row>
    <row r="730" ht="15.75" customHeight="1">
      <c r="C730" s="7"/>
      <c r="N730" s="6"/>
    </row>
    <row r="731" ht="15.75" customHeight="1">
      <c r="C731" s="7"/>
      <c r="N731" s="6"/>
    </row>
    <row r="732" ht="15.75" customHeight="1">
      <c r="C732" s="7"/>
      <c r="N732" s="6"/>
    </row>
    <row r="733" ht="15.75" customHeight="1">
      <c r="C733" s="7"/>
      <c r="N733" s="6"/>
    </row>
    <row r="734" ht="15.75" customHeight="1">
      <c r="C734" s="7"/>
      <c r="N734" s="6"/>
    </row>
    <row r="735" ht="15.75" customHeight="1">
      <c r="C735" s="7"/>
      <c r="N735" s="6"/>
    </row>
    <row r="736" ht="15.75" customHeight="1">
      <c r="C736" s="7"/>
      <c r="N736" s="6"/>
    </row>
    <row r="737" ht="15.75" customHeight="1">
      <c r="C737" s="7"/>
      <c r="N737" s="6"/>
    </row>
    <row r="738" ht="15.75" customHeight="1">
      <c r="C738" s="7"/>
      <c r="N738" s="6"/>
    </row>
    <row r="739" ht="15.75" customHeight="1">
      <c r="C739" s="7"/>
      <c r="N739" s="6"/>
    </row>
    <row r="740" ht="15.75" customHeight="1">
      <c r="C740" s="7"/>
      <c r="N740" s="6"/>
    </row>
    <row r="741" ht="15.75" customHeight="1">
      <c r="C741" s="7"/>
      <c r="N741" s="6"/>
    </row>
    <row r="742" ht="15.75" customHeight="1">
      <c r="C742" s="7"/>
      <c r="N742" s="6"/>
    </row>
    <row r="743" ht="15.75" customHeight="1">
      <c r="C743" s="7"/>
      <c r="N743" s="6"/>
    </row>
    <row r="744" ht="15.75" customHeight="1">
      <c r="C744" s="7"/>
      <c r="N744" s="6"/>
    </row>
    <row r="745" ht="15.75" customHeight="1">
      <c r="C745" s="7"/>
      <c r="N745" s="6"/>
    </row>
    <row r="746" ht="15.75" customHeight="1">
      <c r="C746" s="7"/>
      <c r="N746" s="6"/>
    </row>
    <row r="747" ht="15.75" customHeight="1">
      <c r="C747" s="7"/>
      <c r="N747" s="6"/>
    </row>
    <row r="748" ht="15.75" customHeight="1">
      <c r="C748" s="7"/>
      <c r="N748" s="6"/>
    </row>
    <row r="749" ht="15.75" customHeight="1">
      <c r="C749" s="7"/>
      <c r="N749" s="6"/>
    </row>
    <row r="750" ht="15.75" customHeight="1">
      <c r="C750" s="7"/>
      <c r="N750" s="6"/>
    </row>
    <row r="751" ht="15.75" customHeight="1">
      <c r="C751" s="7"/>
      <c r="N751" s="6"/>
    </row>
    <row r="752" ht="15.75" customHeight="1">
      <c r="C752" s="7"/>
      <c r="N752" s="6"/>
    </row>
    <row r="753" ht="15.75" customHeight="1">
      <c r="C753" s="7"/>
      <c r="N753" s="6"/>
    </row>
    <row r="754" ht="15.75" customHeight="1">
      <c r="C754" s="7"/>
      <c r="N754" s="6"/>
    </row>
    <row r="755" ht="15.75" customHeight="1">
      <c r="C755" s="7"/>
      <c r="N755" s="6"/>
    </row>
    <row r="756" ht="15.75" customHeight="1">
      <c r="C756" s="7"/>
      <c r="N756" s="6"/>
    </row>
    <row r="757" ht="15.75" customHeight="1">
      <c r="C757" s="7"/>
      <c r="N757" s="6"/>
    </row>
    <row r="758" ht="15.75" customHeight="1">
      <c r="C758" s="7"/>
      <c r="N758" s="6"/>
    </row>
    <row r="759" ht="15.75" customHeight="1">
      <c r="C759" s="7"/>
      <c r="N759" s="6"/>
    </row>
    <row r="760" ht="15.75" customHeight="1">
      <c r="C760" s="7"/>
      <c r="N760" s="6"/>
    </row>
    <row r="761" ht="15.75" customHeight="1">
      <c r="C761" s="7"/>
      <c r="N761" s="6"/>
    </row>
    <row r="762" ht="15.75" customHeight="1">
      <c r="C762" s="7"/>
      <c r="N762" s="6"/>
    </row>
    <row r="763" ht="15.75" customHeight="1">
      <c r="C763" s="7"/>
      <c r="N763" s="6"/>
    </row>
    <row r="764" ht="15.75" customHeight="1">
      <c r="C764" s="7"/>
      <c r="N764" s="6"/>
    </row>
    <row r="765" ht="15.75" customHeight="1">
      <c r="C765" s="7"/>
      <c r="N765" s="6"/>
    </row>
    <row r="766" ht="15.75" customHeight="1">
      <c r="C766" s="7"/>
      <c r="N766" s="6"/>
    </row>
    <row r="767" ht="15.75" customHeight="1">
      <c r="C767" s="7"/>
      <c r="N767" s="6"/>
    </row>
    <row r="768" ht="15.75" customHeight="1">
      <c r="C768" s="7"/>
      <c r="N768" s="6"/>
    </row>
    <row r="769" ht="15.75" customHeight="1">
      <c r="C769" s="7"/>
      <c r="N769" s="6"/>
    </row>
    <row r="770" ht="15.75" customHeight="1">
      <c r="C770" s="7"/>
      <c r="N770" s="6"/>
    </row>
    <row r="771" ht="15.75" customHeight="1">
      <c r="C771" s="7"/>
      <c r="N771" s="6"/>
    </row>
    <row r="772" ht="15.75" customHeight="1">
      <c r="C772" s="7"/>
      <c r="N772" s="6"/>
    </row>
    <row r="773" ht="15.75" customHeight="1">
      <c r="C773" s="7"/>
      <c r="N773" s="6"/>
    </row>
    <row r="774" ht="15.75" customHeight="1">
      <c r="C774" s="7"/>
      <c r="N774" s="6"/>
    </row>
    <row r="775" ht="15.75" customHeight="1">
      <c r="C775" s="7"/>
      <c r="N775" s="6"/>
    </row>
    <row r="776" ht="15.75" customHeight="1">
      <c r="C776" s="7"/>
      <c r="N776" s="6"/>
    </row>
    <row r="777" ht="15.75" customHeight="1">
      <c r="C777" s="7"/>
      <c r="N777" s="6"/>
    </row>
    <row r="778" ht="15.75" customHeight="1">
      <c r="C778" s="7"/>
      <c r="N778" s="6"/>
    </row>
    <row r="779" ht="15.75" customHeight="1">
      <c r="C779" s="7"/>
      <c r="N779" s="6"/>
    </row>
    <row r="780" ht="15.75" customHeight="1">
      <c r="C780" s="7"/>
      <c r="N780" s="6"/>
    </row>
    <row r="781" ht="15.75" customHeight="1">
      <c r="C781" s="7"/>
      <c r="N781" s="6"/>
    </row>
    <row r="782" ht="15.75" customHeight="1">
      <c r="C782" s="7"/>
      <c r="N782" s="6"/>
    </row>
    <row r="783" ht="15.75" customHeight="1">
      <c r="C783" s="7"/>
      <c r="N783" s="6"/>
    </row>
    <row r="784" ht="15.75" customHeight="1">
      <c r="C784" s="7"/>
      <c r="N784" s="6"/>
    </row>
    <row r="785" ht="15.75" customHeight="1">
      <c r="C785" s="7"/>
      <c r="N785" s="6"/>
    </row>
    <row r="786" ht="15.75" customHeight="1">
      <c r="C786" s="7"/>
      <c r="N786" s="6"/>
    </row>
    <row r="787" ht="15.75" customHeight="1">
      <c r="C787" s="7"/>
      <c r="N787" s="6"/>
    </row>
    <row r="788" ht="15.75" customHeight="1">
      <c r="C788" s="7"/>
      <c r="N788" s="6"/>
    </row>
    <row r="789" ht="15.75" customHeight="1">
      <c r="C789" s="7"/>
      <c r="N789" s="6"/>
    </row>
    <row r="790" ht="15.75" customHeight="1">
      <c r="C790" s="7"/>
      <c r="N790" s="6"/>
    </row>
    <row r="791" ht="15.75" customHeight="1">
      <c r="C791" s="7"/>
      <c r="N791" s="6"/>
    </row>
    <row r="792" ht="15.75" customHeight="1">
      <c r="C792" s="7"/>
      <c r="N792" s="6"/>
    </row>
    <row r="793" ht="15.75" customHeight="1">
      <c r="C793" s="7"/>
      <c r="N793" s="6"/>
    </row>
    <row r="794" ht="15.75" customHeight="1">
      <c r="C794" s="7"/>
      <c r="N794" s="6"/>
    </row>
    <row r="795" ht="15.75" customHeight="1">
      <c r="C795" s="7"/>
      <c r="N795" s="6"/>
    </row>
    <row r="796" ht="15.75" customHeight="1">
      <c r="C796" s="7"/>
      <c r="N796" s="6"/>
    </row>
    <row r="797" ht="15.75" customHeight="1">
      <c r="C797" s="7"/>
      <c r="N797" s="6"/>
    </row>
    <row r="798" ht="15.75" customHeight="1">
      <c r="C798" s="7"/>
      <c r="N798" s="6"/>
    </row>
    <row r="799" ht="15.75" customHeight="1">
      <c r="C799" s="7"/>
      <c r="N799" s="6"/>
    </row>
    <row r="800" ht="15.75" customHeight="1">
      <c r="C800" s="7"/>
      <c r="N800" s="6"/>
    </row>
    <row r="801" ht="15.75" customHeight="1">
      <c r="C801" s="7"/>
      <c r="N801" s="6"/>
    </row>
    <row r="802" ht="15.75" customHeight="1">
      <c r="C802" s="7"/>
      <c r="N802" s="6"/>
    </row>
    <row r="803" ht="15.75" customHeight="1">
      <c r="C803" s="7"/>
      <c r="N803" s="6"/>
    </row>
    <row r="804" ht="15.75" customHeight="1">
      <c r="C804" s="7"/>
      <c r="N804" s="6"/>
    </row>
    <row r="805" ht="15.75" customHeight="1">
      <c r="C805" s="7"/>
      <c r="N805" s="6"/>
    </row>
    <row r="806" ht="15.75" customHeight="1">
      <c r="C806" s="7"/>
      <c r="N806" s="6"/>
    </row>
    <row r="807" ht="15.75" customHeight="1">
      <c r="C807" s="7"/>
      <c r="N807" s="6"/>
    </row>
    <row r="808" ht="15.75" customHeight="1">
      <c r="C808" s="7"/>
      <c r="N808" s="6"/>
    </row>
    <row r="809" ht="15.75" customHeight="1">
      <c r="C809" s="7"/>
      <c r="N809" s="6"/>
    </row>
    <row r="810" ht="15.75" customHeight="1">
      <c r="C810" s="7"/>
      <c r="N810" s="6"/>
    </row>
    <row r="811" ht="15.75" customHeight="1">
      <c r="C811" s="7"/>
      <c r="N811" s="6"/>
    </row>
    <row r="812" ht="15.75" customHeight="1">
      <c r="C812" s="7"/>
      <c r="N812" s="6"/>
    </row>
    <row r="813" ht="15.75" customHeight="1">
      <c r="C813" s="7"/>
      <c r="N813" s="6"/>
    </row>
    <row r="814" ht="15.75" customHeight="1">
      <c r="C814" s="7"/>
      <c r="N814" s="6"/>
    </row>
    <row r="815" ht="15.75" customHeight="1">
      <c r="C815" s="7"/>
      <c r="N815" s="6"/>
    </row>
    <row r="816" ht="15.75" customHeight="1">
      <c r="C816" s="7"/>
      <c r="N816" s="6"/>
    </row>
    <row r="817" ht="15.75" customHeight="1">
      <c r="C817" s="7"/>
      <c r="N817" s="6"/>
    </row>
    <row r="818" ht="15.75" customHeight="1">
      <c r="C818" s="7"/>
      <c r="N818" s="6"/>
    </row>
    <row r="819" ht="15.75" customHeight="1">
      <c r="C819" s="7"/>
      <c r="N819" s="6"/>
    </row>
    <row r="820" ht="15.75" customHeight="1">
      <c r="C820" s="7"/>
      <c r="N820" s="6"/>
    </row>
    <row r="821" ht="15.75" customHeight="1">
      <c r="C821" s="7"/>
      <c r="N821" s="6"/>
    </row>
    <row r="822" ht="15.75" customHeight="1">
      <c r="C822" s="7"/>
      <c r="N822" s="6"/>
    </row>
    <row r="823" ht="15.75" customHeight="1">
      <c r="C823" s="7"/>
      <c r="N823" s="6"/>
    </row>
    <row r="824" ht="15.75" customHeight="1">
      <c r="C824" s="7"/>
      <c r="N824" s="6"/>
    </row>
    <row r="825" ht="15.75" customHeight="1">
      <c r="C825" s="7"/>
      <c r="N825" s="6"/>
    </row>
    <row r="826" ht="15.75" customHeight="1">
      <c r="C826" s="7"/>
      <c r="N826" s="6"/>
    </row>
    <row r="827" ht="15.75" customHeight="1">
      <c r="C827" s="7"/>
      <c r="N827" s="6"/>
    </row>
    <row r="828" ht="15.75" customHeight="1">
      <c r="C828" s="7"/>
      <c r="N828" s="6"/>
    </row>
    <row r="829" ht="15.75" customHeight="1">
      <c r="C829" s="7"/>
      <c r="N829" s="6"/>
    </row>
    <row r="830" ht="15.75" customHeight="1">
      <c r="C830" s="7"/>
      <c r="N830" s="6"/>
    </row>
    <row r="831" ht="15.75" customHeight="1">
      <c r="C831" s="7"/>
      <c r="N831" s="6"/>
    </row>
    <row r="832" ht="15.75" customHeight="1">
      <c r="C832" s="7"/>
      <c r="N832" s="6"/>
    </row>
    <row r="833" ht="15.75" customHeight="1">
      <c r="C833" s="7"/>
      <c r="N833" s="6"/>
    </row>
    <row r="834" ht="15.75" customHeight="1">
      <c r="C834" s="7"/>
      <c r="N834" s="6"/>
    </row>
    <row r="835" ht="15.75" customHeight="1">
      <c r="C835" s="7"/>
      <c r="N835" s="6"/>
    </row>
    <row r="836" ht="15.75" customHeight="1">
      <c r="C836" s="7"/>
      <c r="N836" s="6"/>
    </row>
    <row r="837" ht="15.75" customHeight="1">
      <c r="C837" s="7"/>
      <c r="N837" s="6"/>
    </row>
    <row r="838" ht="15.75" customHeight="1">
      <c r="C838" s="7"/>
      <c r="N838" s="6"/>
    </row>
    <row r="839" ht="15.75" customHeight="1">
      <c r="C839" s="7"/>
      <c r="N839" s="6"/>
    </row>
    <row r="840" ht="15.75" customHeight="1">
      <c r="C840" s="7"/>
      <c r="N840" s="6"/>
    </row>
    <row r="841" ht="15.75" customHeight="1">
      <c r="C841" s="7"/>
      <c r="N841" s="6"/>
    </row>
    <row r="842" ht="15.75" customHeight="1">
      <c r="C842" s="7"/>
      <c r="N842" s="6"/>
    </row>
    <row r="843" ht="15.75" customHeight="1">
      <c r="C843" s="7"/>
      <c r="N843" s="6"/>
    </row>
    <row r="844" ht="15.75" customHeight="1">
      <c r="C844" s="7"/>
      <c r="N844" s="6"/>
    </row>
    <row r="845" ht="15.75" customHeight="1">
      <c r="C845" s="7"/>
      <c r="N845" s="6"/>
    </row>
    <row r="846" ht="15.75" customHeight="1">
      <c r="C846" s="7"/>
      <c r="N846" s="6"/>
    </row>
    <row r="847" ht="15.75" customHeight="1">
      <c r="C847" s="7"/>
      <c r="N847" s="6"/>
    </row>
    <row r="848" ht="15.75" customHeight="1">
      <c r="C848" s="7"/>
      <c r="N848" s="6"/>
    </row>
    <row r="849" ht="15.75" customHeight="1">
      <c r="C849" s="7"/>
      <c r="N849" s="6"/>
    </row>
    <row r="850" ht="15.75" customHeight="1">
      <c r="C850" s="7"/>
      <c r="N850" s="6"/>
    </row>
    <row r="851" ht="15.75" customHeight="1">
      <c r="C851" s="7"/>
      <c r="N851" s="6"/>
    </row>
    <row r="852" ht="15.75" customHeight="1">
      <c r="C852" s="7"/>
      <c r="N852" s="6"/>
    </row>
    <row r="853" ht="15.75" customHeight="1">
      <c r="C853" s="7"/>
      <c r="N853" s="6"/>
    </row>
    <row r="854" ht="15.75" customHeight="1">
      <c r="C854" s="7"/>
      <c r="N854" s="6"/>
    </row>
    <row r="855" ht="15.75" customHeight="1">
      <c r="C855" s="7"/>
      <c r="N855" s="6"/>
    </row>
    <row r="856" ht="15.75" customHeight="1">
      <c r="C856" s="7"/>
      <c r="N856" s="6"/>
    </row>
    <row r="857" ht="15.75" customHeight="1">
      <c r="C857" s="7"/>
      <c r="N857" s="6"/>
    </row>
    <row r="858" ht="15.75" customHeight="1">
      <c r="C858" s="7"/>
      <c r="N858" s="6"/>
    </row>
    <row r="859" ht="15.75" customHeight="1">
      <c r="C859" s="7"/>
      <c r="N859" s="6"/>
    </row>
    <row r="860" ht="15.75" customHeight="1">
      <c r="C860" s="7"/>
      <c r="N860" s="6"/>
    </row>
    <row r="861" ht="15.75" customHeight="1">
      <c r="C861" s="7"/>
      <c r="N861" s="6"/>
    </row>
    <row r="862" ht="15.75" customHeight="1">
      <c r="C862" s="7"/>
      <c r="N862" s="6"/>
    </row>
    <row r="863" ht="15.75" customHeight="1">
      <c r="C863" s="7"/>
      <c r="N863" s="6"/>
    </row>
    <row r="864" ht="15.75" customHeight="1">
      <c r="C864" s="7"/>
      <c r="N864" s="6"/>
    </row>
    <row r="865" ht="15.75" customHeight="1">
      <c r="C865" s="7"/>
      <c r="N865" s="6"/>
    </row>
    <row r="866" ht="15.75" customHeight="1">
      <c r="C866" s="7"/>
      <c r="N866" s="6"/>
    </row>
    <row r="867" ht="15.75" customHeight="1">
      <c r="C867" s="7"/>
      <c r="N867" s="6"/>
    </row>
    <row r="868" ht="15.75" customHeight="1">
      <c r="C868" s="7"/>
      <c r="N868" s="6"/>
    </row>
    <row r="869" ht="15.75" customHeight="1">
      <c r="C869" s="7"/>
      <c r="N869" s="6"/>
    </row>
    <row r="870" ht="15.75" customHeight="1">
      <c r="C870" s="7"/>
      <c r="N870" s="6"/>
    </row>
    <row r="871" ht="15.75" customHeight="1">
      <c r="C871" s="7"/>
      <c r="N871" s="6"/>
    </row>
    <row r="872" ht="15.75" customHeight="1">
      <c r="C872" s="7"/>
      <c r="N872" s="6"/>
    </row>
    <row r="873" ht="15.75" customHeight="1">
      <c r="C873" s="7"/>
      <c r="N873" s="6"/>
    </row>
    <row r="874" ht="15.75" customHeight="1">
      <c r="C874" s="7"/>
      <c r="N874" s="6"/>
    </row>
    <row r="875" ht="15.75" customHeight="1">
      <c r="C875" s="7"/>
      <c r="N875" s="6"/>
    </row>
    <row r="876" ht="15.75" customHeight="1">
      <c r="C876" s="7"/>
      <c r="N876" s="6"/>
    </row>
    <row r="877" ht="15.75" customHeight="1">
      <c r="C877" s="7"/>
      <c r="N877" s="6"/>
    </row>
    <row r="878" ht="15.75" customHeight="1">
      <c r="C878" s="7"/>
      <c r="N878" s="6"/>
    </row>
    <row r="879" ht="15.75" customHeight="1">
      <c r="C879" s="7"/>
      <c r="N879" s="6"/>
    </row>
    <row r="880" ht="15.75" customHeight="1">
      <c r="C880" s="7"/>
      <c r="N880" s="6"/>
    </row>
    <row r="881" ht="15.75" customHeight="1">
      <c r="C881" s="7"/>
      <c r="N881" s="6"/>
    </row>
    <row r="882" ht="15.75" customHeight="1">
      <c r="C882" s="7"/>
      <c r="N882" s="6"/>
    </row>
    <row r="883" ht="15.75" customHeight="1">
      <c r="C883" s="7"/>
      <c r="N883" s="6"/>
    </row>
    <row r="884" ht="15.75" customHeight="1">
      <c r="C884" s="7"/>
      <c r="N884" s="6"/>
    </row>
    <row r="885" ht="15.75" customHeight="1">
      <c r="C885" s="7"/>
      <c r="N885" s="6"/>
    </row>
    <row r="886" ht="15.75" customHeight="1">
      <c r="C886" s="7"/>
      <c r="N886" s="6"/>
    </row>
    <row r="887" ht="15.75" customHeight="1">
      <c r="C887" s="7"/>
      <c r="N887" s="6"/>
    </row>
    <row r="888" ht="15.75" customHeight="1">
      <c r="C888" s="7"/>
      <c r="N888" s="6"/>
    </row>
    <row r="889" ht="15.75" customHeight="1">
      <c r="C889" s="7"/>
      <c r="N889" s="6"/>
    </row>
    <row r="890" ht="15.75" customHeight="1">
      <c r="C890" s="7"/>
      <c r="N890" s="6"/>
    </row>
    <row r="891" ht="15.75" customHeight="1">
      <c r="C891" s="7"/>
      <c r="N891" s="6"/>
    </row>
    <row r="892" ht="15.75" customHeight="1">
      <c r="C892" s="7"/>
      <c r="N892" s="6"/>
    </row>
    <row r="893" ht="15.75" customHeight="1">
      <c r="C893" s="7"/>
      <c r="N893" s="6"/>
    </row>
    <row r="894" ht="15.75" customHeight="1">
      <c r="C894" s="7"/>
      <c r="N894" s="6"/>
    </row>
    <row r="895" ht="15.75" customHeight="1">
      <c r="C895" s="7"/>
      <c r="N895" s="6"/>
    </row>
    <row r="896" ht="15.75" customHeight="1">
      <c r="C896" s="7"/>
      <c r="N896" s="6"/>
    </row>
    <row r="897" ht="15.75" customHeight="1">
      <c r="C897" s="7"/>
      <c r="N897" s="6"/>
    </row>
    <row r="898" ht="15.75" customHeight="1">
      <c r="C898" s="7"/>
      <c r="N898" s="6"/>
    </row>
    <row r="899" ht="15.75" customHeight="1">
      <c r="C899" s="7"/>
      <c r="N899" s="6"/>
    </row>
    <row r="900" ht="15.75" customHeight="1">
      <c r="C900" s="7"/>
      <c r="N900" s="6"/>
    </row>
    <row r="901" ht="15.75" customHeight="1">
      <c r="C901" s="7"/>
      <c r="N901" s="6"/>
    </row>
    <row r="902" ht="15.75" customHeight="1">
      <c r="C902" s="7"/>
      <c r="N902" s="6"/>
    </row>
    <row r="903" ht="15.75" customHeight="1">
      <c r="C903" s="7"/>
      <c r="N903" s="6"/>
    </row>
    <row r="904" ht="15.75" customHeight="1">
      <c r="C904" s="7"/>
      <c r="N904" s="6"/>
    </row>
    <row r="905" ht="15.75" customHeight="1">
      <c r="C905" s="7"/>
      <c r="N905" s="6"/>
    </row>
    <row r="906" ht="15.75" customHeight="1">
      <c r="C906" s="7"/>
      <c r="N906" s="6"/>
    </row>
    <row r="907" ht="15.75" customHeight="1">
      <c r="C907" s="7"/>
      <c r="N907" s="6"/>
    </row>
    <row r="908" ht="15.75" customHeight="1">
      <c r="C908" s="7"/>
      <c r="N908" s="6"/>
    </row>
    <row r="909" ht="15.75" customHeight="1">
      <c r="C909" s="7"/>
      <c r="N909" s="6"/>
    </row>
    <row r="910" ht="15.75" customHeight="1">
      <c r="C910" s="7"/>
      <c r="N910" s="6"/>
    </row>
    <row r="911" ht="15.75" customHeight="1">
      <c r="C911" s="7"/>
      <c r="N911" s="6"/>
    </row>
    <row r="912" ht="15.75" customHeight="1">
      <c r="C912" s="7"/>
      <c r="N912" s="6"/>
    </row>
    <row r="913" ht="15.75" customHeight="1">
      <c r="C913" s="7"/>
      <c r="N913" s="6"/>
    </row>
    <row r="914" ht="15.75" customHeight="1">
      <c r="C914" s="7"/>
      <c r="N914" s="6"/>
    </row>
    <row r="915" ht="15.75" customHeight="1">
      <c r="C915" s="7"/>
      <c r="N915" s="6"/>
    </row>
    <row r="916" ht="15.75" customHeight="1">
      <c r="C916" s="7"/>
      <c r="N916" s="6"/>
    </row>
    <row r="917" ht="15.75" customHeight="1">
      <c r="C917" s="7"/>
      <c r="N917" s="6"/>
    </row>
    <row r="918" ht="15.75" customHeight="1">
      <c r="C918" s="7"/>
      <c r="N918" s="6"/>
    </row>
    <row r="919" ht="15.75" customHeight="1">
      <c r="C919" s="7"/>
      <c r="N919" s="6"/>
    </row>
    <row r="920" ht="15.75" customHeight="1">
      <c r="C920" s="7"/>
      <c r="N920" s="6"/>
    </row>
    <row r="921" ht="15.75" customHeight="1">
      <c r="C921" s="7"/>
      <c r="N921" s="6"/>
    </row>
    <row r="922" ht="15.75" customHeight="1">
      <c r="C922" s="7"/>
      <c r="N922" s="6"/>
    </row>
    <row r="923" ht="15.75" customHeight="1">
      <c r="C923" s="7"/>
      <c r="N923" s="6"/>
    </row>
    <row r="924" ht="15.75" customHeight="1">
      <c r="C924" s="7"/>
      <c r="N924" s="6"/>
    </row>
    <row r="925" ht="15.75" customHeight="1">
      <c r="C925" s="7"/>
      <c r="N925" s="6"/>
    </row>
    <row r="926" ht="15.75" customHeight="1">
      <c r="C926" s="7"/>
      <c r="N926" s="6"/>
    </row>
    <row r="927" ht="15.75" customHeight="1">
      <c r="C927" s="7"/>
      <c r="N927" s="6"/>
    </row>
    <row r="928" ht="15.75" customHeight="1">
      <c r="C928" s="7"/>
      <c r="N928" s="6"/>
    </row>
    <row r="929" ht="15.75" customHeight="1">
      <c r="C929" s="7"/>
      <c r="N929" s="6"/>
    </row>
    <row r="930" ht="15.75" customHeight="1">
      <c r="C930" s="7"/>
      <c r="N930" s="6"/>
    </row>
    <row r="931" ht="15.75" customHeight="1">
      <c r="C931" s="7"/>
      <c r="N931" s="6"/>
    </row>
    <row r="932" ht="15.75" customHeight="1">
      <c r="C932" s="7"/>
      <c r="N932" s="6"/>
    </row>
    <row r="933" ht="15.75" customHeight="1">
      <c r="C933" s="7"/>
      <c r="N933" s="6"/>
    </row>
    <row r="934" ht="15.75" customHeight="1">
      <c r="C934" s="7"/>
      <c r="N934" s="6"/>
    </row>
    <row r="935" ht="15.75" customHeight="1">
      <c r="C935" s="7"/>
      <c r="N935" s="6"/>
    </row>
    <row r="936" ht="15.75" customHeight="1">
      <c r="C936" s="7"/>
      <c r="N936" s="6"/>
    </row>
    <row r="937" ht="15.75" customHeight="1">
      <c r="C937" s="7"/>
      <c r="N937" s="6"/>
    </row>
    <row r="938" ht="15.75" customHeight="1">
      <c r="C938" s="7"/>
      <c r="N938" s="6"/>
    </row>
    <row r="939" ht="15.75" customHeight="1">
      <c r="C939" s="7"/>
      <c r="N939" s="6"/>
    </row>
    <row r="940" ht="15.75" customHeight="1">
      <c r="C940" s="7"/>
      <c r="N940" s="6"/>
    </row>
    <row r="941" ht="15.75" customHeight="1">
      <c r="C941" s="7"/>
      <c r="N941" s="6"/>
    </row>
    <row r="942" ht="15.75" customHeight="1">
      <c r="C942" s="7"/>
      <c r="N942" s="6"/>
    </row>
    <row r="943" ht="15.75" customHeight="1">
      <c r="C943" s="7"/>
      <c r="N943" s="6"/>
    </row>
    <row r="944" ht="15.75" customHeight="1">
      <c r="C944" s="7"/>
      <c r="N944" s="6"/>
    </row>
    <row r="945" ht="15.75" customHeight="1">
      <c r="C945" s="7"/>
      <c r="N945" s="6"/>
    </row>
    <row r="946" ht="15.75" customHeight="1">
      <c r="C946" s="7"/>
      <c r="N946" s="6"/>
    </row>
    <row r="947" ht="15.75" customHeight="1">
      <c r="C947" s="7"/>
      <c r="N947" s="6"/>
    </row>
    <row r="948" ht="15.75" customHeight="1">
      <c r="C948" s="7"/>
      <c r="N948" s="6"/>
    </row>
    <row r="949" ht="15.75" customHeight="1">
      <c r="C949" s="7"/>
      <c r="N949" s="6"/>
    </row>
    <row r="950" ht="15.75" customHeight="1">
      <c r="C950" s="7"/>
      <c r="N950" s="6"/>
    </row>
    <row r="951" ht="15.75" customHeight="1">
      <c r="C951" s="7"/>
      <c r="N951" s="6"/>
    </row>
    <row r="952" ht="15.75" customHeight="1">
      <c r="C952" s="7"/>
      <c r="N952" s="6"/>
    </row>
    <row r="953" ht="15.75" customHeight="1">
      <c r="C953" s="7"/>
      <c r="N953" s="6"/>
    </row>
    <row r="954" ht="15.75" customHeight="1">
      <c r="C954" s="7"/>
      <c r="N954" s="6"/>
    </row>
    <row r="955" ht="15.75" customHeight="1">
      <c r="C955" s="7"/>
      <c r="N955" s="6"/>
    </row>
    <row r="956" ht="15.75" customHeight="1">
      <c r="C956" s="7"/>
      <c r="N956" s="6"/>
    </row>
    <row r="957" ht="15.75" customHeight="1">
      <c r="C957" s="7"/>
      <c r="N957" s="6"/>
    </row>
    <row r="958" ht="15.75" customHeight="1">
      <c r="C958" s="7"/>
      <c r="N958" s="6"/>
    </row>
    <row r="959" ht="15.75" customHeight="1">
      <c r="C959" s="7"/>
      <c r="N959" s="6"/>
    </row>
    <row r="960" ht="15.75" customHeight="1">
      <c r="C960" s="7"/>
      <c r="N960" s="6"/>
    </row>
    <row r="961" ht="15.75" customHeight="1">
      <c r="C961" s="7"/>
      <c r="N961" s="6"/>
    </row>
    <row r="962" ht="15.75" customHeight="1">
      <c r="C962" s="7"/>
      <c r="N962" s="6"/>
    </row>
    <row r="963" ht="15.75" customHeight="1">
      <c r="C963" s="7"/>
      <c r="N963" s="6"/>
    </row>
    <row r="964" ht="15.75" customHeight="1">
      <c r="C964" s="7"/>
      <c r="N964" s="6"/>
    </row>
    <row r="965" ht="15.75" customHeight="1">
      <c r="C965" s="7"/>
      <c r="N965" s="6"/>
    </row>
    <row r="966" ht="15.75" customHeight="1">
      <c r="C966" s="7"/>
      <c r="N966" s="6"/>
    </row>
    <row r="967" ht="15.75" customHeight="1">
      <c r="C967" s="7"/>
      <c r="N967" s="6"/>
    </row>
    <row r="968" ht="15.75" customHeight="1">
      <c r="C968" s="7"/>
      <c r="N968" s="6"/>
    </row>
    <row r="969" ht="15.75" customHeight="1">
      <c r="C969" s="7"/>
      <c r="N969" s="6"/>
    </row>
    <row r="970" ht="15.75" customHeight="1">
      <c r="C970" s="7"/>
      <c r="N970" s="6"/>
    </row>
    <row r="971" ht="15.75" customHeight="1">
      <c r="C971" s="7"/>
      <c r="N971" s="6"/>
    </row>
    <row r="972" ht="15.75" customHeight="1">
      <c r="C972" s="7"/>
      <c r="N972" s="6"/>
    </row>
    <row r="973" ht="15.75" customHeight="1">
      <c r="C973" s="7"/>
      <c r="N973" s="6"/>
    </row>
    <row r="974" ht="15.75" customHeight="1">
      <c r="C974" s="7"/>
      <c r="N974" s="6"/>
    </row>
    <row r="975" ht="15.75" customHeight="1">
      <c r="C975" s="7"/>
      <c r="N975" s="6"/>
    </row>
    <row r="976" ht="15.75" customHeight="1">
      <c r="C976" s="7"/>
      <c r="N976" s="6"/>
    </row>
    <row r="977" ht="15.75" customHeight="1">
      <c r="C977" s="7"/>
      <c r="N977" s="6"/>
    </row>
    <row r="978" ht="15.75" customHeight="1">
      <c r="C978" s="7"/>
      <c r="N978" s="6"/>
    </row>
    <row r="979" ht="15.75" customHeight="1">
      <c r="C979" s="7"/>
      <c r="N979" s="6"/>
    </row>
    <row r="980" ht="15.75" customHeight="1">
      <c r="C980" s="7"/>
      <c r="N980" s="6"/>
    </row>
    <row r="981" ht="15.75" customHeight="1">
      <c r="C981" s="7"/>
      <c r="N981" s="6"/>
    </row>
    <row r="982" ht="15.75" customHeight="1">
      <c r="C982" s="7"/>
      <c r="N982" s="6"/>
    </row>
    <row r="983" ht="15.75" customHeight="1">
      <c r="C983" s="7"/>
      <c r="N983" s="6"/>
    </row>
    <row r="984" ht="15.75" customHeight="1">
      <c r="C984" s="7"/>
      <c r="N984" s="6"/>
    </row>
    <row r="985" ht="15.75" customHeight="1">
      <c r="C985" s="7"/>
      <c r="N985" s="6"/>
    </row>
    <row r="986" ht="15.75" customHeight="1">
      <c r="C986" s="7"/>
      <c r="N986" s="6"/>
    </row>
    <row r="987" ht="15.75" customHeight="1">
      <c r="C987" s="7"/>
      <c r="N987" s="6"/>
    </row>
    <row r="988" ht="15.75" customHeight="1">
      <c r="C988" s="7"/>
      <c r="N988" s="6"/>
    </row>
    <row r="989" ht="15.75" customHeight="1">
      <c r="C989" s="7"/>
      <c r="N989" s="6"/>
    </row>
    <row r="990" ht="15.75" customHeight="1">
      <c r="C990" s="7"/>
      <c r="N990" s="6"/>
    </row>
    <row r="991" ht="15.75" customHeight="1">
      <c r="C991" s="7"/>
      <c r="N991" s="6"/>
    </row>
    <row r="992" ht="15.75" customHeight="1">
      <c r="C992" s="7"/>
      <c r="N992" s="6"/>
    </row>
    <row r="993" ht="15.75" customHeight="1">
      <c r="C993" s="7"/>
      <c r="N993" s="6"/>
    </row>
    <row r="994" ht="15.75" customHeight="1">
      <c r="C994" s="7"/>
      <c r="N994" s="6"/>
    </row>
    <row r="995" ht="15.75" customHeight="1">
      <c r="C995" s="7"/>
      <c r="N995" s="6"/>
    </row>
    <row r="996" ht="15.75" customHeight="1">
      <c r="C996" s="7"/>
      <c r="N996" s="6"/>
    </row>
    <row r="997" ht="15.75" customHeight="1">
      <c r="C997" s="7"/>
      <c r="N997" s="6"/>
    </row>
    <row r="998" ht="15.75" customHeight="1">
      <c r="C998" s="7"/>
      <c r="N998" s="6"/>
    </row>
    <row r="999" ht="15.75" customHeight="1">
      <c r="C999" s="7"/>
      <c r="N999" s="6"/>
    </row>
  </sheetData>
  <autoFilter ref="$A$1:$K$69"/>
  <dataValidations>
    <dataValidation type="list" allowBlank="1" showErrorMessage="1" sqref="C1:C999">
      <formula1>Lookups!$B$11:$B$15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44"/>
    <col customWidth="1" min="2" max="2" width="10.56"/>
    <col customWidth="1" min="3" max="3" width="16.78"/>
    <col customWidth="1" min="4" max="26" width="10.56"/>
  </cols>
  <sheetData>
    <row r="1" ht="15.75" customHeight="1">
      <c r="A1" s="1" t="s">
        <v>78</v>
      </c>
      <c r="B1" s="1" t="s">
        <v>1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</row>
    <row r="2" ht="15.75" customHeight="1">
      <c r="A2" s="7" t="s">
        <v>92</v>
      </c>
      <c r="B2" s="7">
        <v>2.0</v>
      </c>
      <c r="C2" s="3" t="s">
        <v>93</v>
      </c>
      <c r="D2" s="7">
        <v>150.0</v>
      </c>
      <c r="E2" s="7">
        <v>150.0</v>
      </c>
      <c r="F2" s="7">
        <v>150.0</v>
      </c>
      <c r="G2" s="7">
        <v>150.0</v>
      </c>
      <c r="H2" s="7">
        <v>80.0</v>
      </c>
      <c r="I2" s="7">
        <v>40.0</v>
      </c>
      <c r="J2" s="7">
        <v>40.0</v>
      </c>
      <c r="K2" s="7">
        <v>40.0</v>
      </c>
      <c r="L2" s="7">
        <v>40.0</v>
      </c>
      <c r="M2" s="7">
        <v>80.0</v>
      </c>
      <c r="N2" s="7">
        <v>150.0</v>
      </c>
      <c r="O2" s="7">
        <v>150.0</v>
      </c>
    </row>
    <row r="3" ht="15.75" customHeight="1">
      <c r="A3" s="7" t="s">
        <v>92</v>
      </c>
      <c r="B3" s="7">
        <v>2.0</v>
      </c>
      <c r="C3" s="3" t="s">
        <v>94</v>
      </c>
      <c r="D3" s="7">
        <v>123.0</v>
      </c>
      <c r="E3" s="7">
        <v>150.0</v>
      </c>
    </row>
    <row r="4" ht="15.75" customHeight="1">
      <c r="A4" s="7" t="s">
        <v>92</v>
      </c>
      <c r="B4" s="7">
        <v>4.0</v>
      </c>
      <c r="C4" s="3" t="s">
        <v>93</v>
      </c>
      <c r="D4" s="7">
        <v>150.0</v>
      </c>
      <c r="E4" s="7">
        <v>150.0</v>
      </c>
      <c r="F4" s="7">
        <v>150.0</v>
      </c>
      <c r="G4" s="7">
        <v>150.0</v>
      </c>
      <c r="H4" s="7">
        <v>80.0</v>
      </c>
      <c r="I4" s="7">
        <v>40.0</v>
      </c>
      <c r="J4" s="7">
        <v>40.0</v>
      </c>
      <c r="K4" s="7">
        <v>40.0</v>
      </c>
      <c r="L4" s="7">
        <v>40.0</v>
      </c>
      <c r="M4" s="7">
        <v>80.0</v>
      </c>
      <c r="N4" s="7">
        <v>150.0</v>
      </c>
      <c r="O4" s="7">
        <v>150.0</v>
      </c>
    </row>
    <row r="5" ht="15.75" customHeight="1">
      <c r="A5" s="7" t="s">
        <v>92</v>
      </c>
      <c r="B5" s="7">
        <v>5.0</v>
      </c>
      <c r="C5" s="3" t="s">
        <v>93</v>
      </c>
      <c r="D5" s="7">
        <v>150.0</v>
      </c>
      <c r="E5" s="7">
        <v>150.0</v>
      </c>
      <c r="F5" s="7">
        <v>150.0</v>
      </c>
      <c r="G5" s="7">
        <v>150.0</v>
      </c>
      <c r="H5" s="7">
        <v>80.0</v>
      </c>
      <c r="I5" s="7">
        <v>40.0</v>
      </c>
      <c r="J5" s="7">
        <v>40.0</v>
      </c>
      <c r="K5" s="7">
        <v>40.0</v>
      </c>
      <c r="L5" s="7">
        <v>40.0</v>
      </c>
      <c r="M5" s="7">
        <v>80.0</v>
      </c>
      <c r="N5" s="7">
        <v>150.0</v>
      </c>
      <c r="O5" s="7">
        <v>150.0</v>
      </c>
    </row>
    <row r="6" ht="15.75" customHeight="1">
      <c r="A6" s="7" t="s">
        <v>92</v>
      </c>
      <c r="B6" s="7">
        <v>6.0</v>
      </c>
      <c r="C6" s="3" t="s">
        <v>93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</row>
    <row r="7" ht="15.75" hidden="1" customHeight="1">
      <c r="A7" s="7" t="s">
        <v>92</v>
      </c>
      <c r="B7" s="7">
        <v>0.0</v>
      </c>
      <c r="C7" s="3" t="s">
        <v>93</v>
      </c>
      <c r="D7" s="7">
        <v>150.0</v>
      </c>
      <c r="E7" s="7">
        <v>150.0</v>
      </c>
      <c r="F7" s="7">
        <v>150.0</v>
      </c>
      <c r="G7" s="7">
        <v>150.0</v>
      </c>
      <c r="H7" s="7">
        <v>150.0</v>
      </c>
      <c r="I7" s="7">
        <v>80.0</v>
      </c>
      <c r="J7" s="7">
        <v>80.0</v>
      </c>
      <c r="K7" s="7">
        <v>80.0</v>
      </c>
      <c r="L7" s="7">
        <v>80.0</v>
      </c>
      <c r="M7" s="7">
        <v>80.0</v>
      </c>
      <c r="N7" s="7">
        <v>150.0</v>
      </c>
      <c r="O7" s="7">
        <v>150.0</v>
      </c>
    </row>
    <row r="8" ht="15.75" hidden="1" customHeight="1">
      <c r="A8" s="7" t="s">
        <v>92</v>
      </c>
      <c r="B8" s="7">
        <v>8.0</v>
      </c>
      <c r="C8" s="3" t="s">
        <v>93</v>
      </c>
      <c r="D8" s="7">
        <v>80.0</v>
      </c>
      <c r="E8" s="7">
        <v>50.0</v>
      </c>
      <c r="F8" s="7">
        <v>50.0</v>
      </c>
      <c r="G8" s="7">
        <v>50.0</v>
      </c>
      <c r="H8" s="7">
        <v>50.0</v>
      </c>
      <c r="I8" s="7">
        <v>30.0</v>
      </c>
      <c r="J8" s="7">
        <v>30.0</v>
      </c>
      <c r="K8" s="7">
        <v>30.0</v>
      </c>
      <c r="L8" s="7">
        <v>30.0</v>
      </c>
      <c r="M8" s="7">
        <v>50.0</v>
      </c>
      <c r="N8" s="7">
        <v>50.0</v>
      </c>
      <c r="O8" s="7">
        <v>80.0</v>
      </c>
    </row>
    <row r="9" ht="15.75" customHeight="1">
      <c r="A9" s="7" t="s">
        <v>92</v>
      </c>
      <c r="B9" s="7">
        <v>7.0</v>
      </c>
      <c r="C9" s="3" t="s">
        <v>93</v>
      </c>
      <c r="D9" s="7">
        <v>30.0</v>
      </c>
      <c r="E9" s="7">
        <v>30.0</v>
      </c>
      <c r="F9" s="7">
        <v>30.0</v>
      </c>
      <c r="G9" s="7">
        <v>30.0</v>
      </c>
      <c r="H9" s="7">
        <v>30.0</v>
      </c>
      <c r="I9" s="7">
        <v>30.0</v>
      </c>
      <c r="J9" s="7">
        <v>30.0</v>
      </c>
      <c r="K9" s="7">
        <v>30.0</v>
      </c>
      <c r="L9" s="7">
        <v>30.0</v>
      </c>
      <c r="M9" s="7">
        <v>30.0</v>
      </c>
      <c r="N9" s="7">
        <v>30.0</v>
      </c>
      <c r="O9" s="7">
        <v>30.0</v>
      </c>
    </row>
    <row r="10" ht="15.75" hidden="1" customHeight="1">
      <c r="A10" s="7" t="s">
        <v>95</v>
      </c>
      <c r="B10" s="7">
        <v>0.0</v>
      </c>
      <c r="C10" s="3" t="s">
        <v>93</v>
      </c>
      <c r="D10" s="11">
        <v>300.0</v>
      </c>
      <c r="E10" s="11">
        <v>300.0</v>
      </c>
      <c r="F10" s="11">
        <v>300.0</v>
      </c>
      <c r="G10" s="7">
        <v>200.0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11">
        <v>300.0</v>
      </c>
      <c r="O10" s="11">
        <v>300.0</v>
      </c>
    </row>
    <row r="11" ht="15.75" hidden="1" customHeight="1"/>
    <row r="12" ht="15.75" hidden="1" customHeight="1"/>
    <row r="13" ht="15.75" hidden="1" customHeight="1"/>
    <row r="14" ht="15.75" hidden="1" customHeight="1"/>
    <row r="15" ht="15.75" hidden="1" customHeight="1"/>
    <row r="16" ht="15.75" hidden="1" customHeight="1"/>
    <row r="17" ht="15.75" hidden="1" customHeight="1"/>
    <row r="18" ht="15.75" hidden="1" customHeight="1"/>
    <row r="19" ht="15.75" hidden="1" customHeight="1"/>
    <row r="20" ht="15.75" hidden="1" customHeight="1"/>
    <row r="21" ht="15.75" hidden="1" customHeight="1"/>
    <row r="22" ht="15.75" hidden="1" customHeight="1"/>
    <row r="23" ht="15.75" hidden="1" customHeight="1"/>
    <row r="24" ht="15.75" hidden="1" customHeight="1"/>
    <row r="25" ht="15.75" hidden="1" customHeight="1"/>
    <row r="26" ht="15.75" hidden="1" customHeight="1"/>
    <row r="27" ht="15.75" hidden="1" customHeight="1"/>
    <row r="28" ht="15.75" hidden="1" customHeight="1"/>
    <row r="29" ht="15.75" hidden="1" customHeight="1"/>
    <row r="30" ht="15.75" hidden="1" customHeight="1"/>
    <row r="31" ht="15.75" hidden="1" customHeight="1"/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B$1:$B$1000">
    <filterColumn colId="0">
      <filters>
        <filter val="2"/>
        <filter val="4"/>
        <filter val="5"/>
        <filter val="6"/>
        <filter val="7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44"/>
    <col customWidth="1" min="2" max="26" width="10.56"/>
  </cols>
  <sheetData>
    <row r="1" ht="15.75" customHeight="1">
      <c r="A1" s="1" t="s">
        <v>78</v>
      </c>
      <c r="B1" s="1" t="s">
        <v>1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</row>
    <row r="2" ht="15.75" hidden="1" customHeight="1">
      <c r="A2" s="7" t="s">
        <v>96</v>
      </c>
      <c r="B2" s="3">
        <v>0.0</v>
      </c>
      <c r="C2" s="3">
        <v>500.0</v>
      </c>
      <c r="D2" s="3">
        <v>500.0</v>
      </c>
      <c r="E2" s="3">
        <v>500.0</v>
      </c>
      <c r="F2" s="3">
        <v>500.0</v>
      </c>
      <c r="G2" s="3">
        <v>500.0</v>
      </c>
      <c r="H2" s="3">
        <v>500.0</v>
      </c>
      <c r="I2" s="3">
        <v>500.0</v>
      </c>
      <c r="J2" s="3">
        <v>500.0</v>
      </c>
      <c r="K2" s="3">
        <v>500.0</v>
      </c>
      <c r="L2" s="3">
        <v>500.0</v>
      </c>
      <c r="M2" s="3">
        <v>500.0</v>
      </c>
      <c r="N2" s="3">
        <v>500.0</v>
      </c>
    </row>
    <row r="3" ht="15.75" hidden="1" customHeight="1">
      <c r="A3" s="7" t="s">
        <v>96</v>
      </c>
      <c r="B3" s="3">
        <v>8.0</v>
      </c>
      <c r="C3" s="3">
        <v>158.0</v>
      </c>
      <c r="D3" s="3">
        <v>158.0</v>
      </c>
      <c r="E3" s="3">
        <v>158.0</v>
      </c>
      <c r="F3" s="3">
        <v>158.0</v>
      </c>
      <c r="G3" s="3">
        <v>158.0</v>
      </c>
      <c r="H3" s="3">
        <v>158.0</v>
      </c>
      <c r="I3" s="3">
        <v>158.0</v>
      </c>
      <c r="J3" s="3">
        <v>158.0</v>
      </c>
      <c r="K3" s="3">
        <v>158.0</v>
      </c>
      <c r="L3" s="3">
        <v>158.0</v>
      </c>
      <c r="M3" s="3">
        <v>158.0</v>
      </c>
      <c r="N3" s="3">
        <v>158.0</v>
      </c>
    </row>
    <row r="4" ht="15.75" customHeight="1">
      <c r="A4" s="7" t="s">
        <v>96</v>
      </c>
      <c r="B4" s="7">
        <v>2.0</v>
      </c>
      <c r="C4" s="13">
        <f>1250*Lookups!F25</f>
        <v>350.2155172</v>
      </c>
      <c r="D4" s="13">
        <f t="shared" ref="D4:N4" si="1">C4</f>
        <v>350.2155172</v>
      </c>
      <c r="E4" s="13">
        <f t="shared" si="1"/>
        <v>350.2155172</v>
      </c>
      <c r="F4" s="13">
        <f t="shared" si="1"/>
        <v>350.2155172</v>
      </c>
      <c r="G4" s="13">
        <f t="shared" si="1"/>
        <v>350.2155172</v>
      </c>
      <c r="H4" s="13">
        <f t="shared" si="1"/>
        <v>350.2155172</v>
      </c>
      <c r="I4" s="13">
        <f t="shared" si="1"/>
        <v>350.2155172</v>
      </c>
      <c r="J4" s="13">
        <f t="shared" si="1"/>
        <v>350.2155172</v>
      </c>
      <c r="K4" s="13">
        <f t="shared" si="1"/>
        <v>350.2155172</v>
      </c>
      <c r="L4" s="13">
        <f t="shared" si="1"/>
        <v>350.2155172</v>
      </c>
      <c r="M4" s="13">
        <f t="shared" si="1"/>
        <v>350.2155172</v>
      </c>
      <c r="N4" s="13">
        <f t="shared" si="1"/>
        <v>350.2155172</v>
      </c>
    </row>
    <row r="5" ht="15.75" customHeight="1">
      <c r="A5" s="7" t="s">
        <v>96</v>
      </c>
      <c r="B5" s="7">
        <v>4.0</v>
      </c>
      <c r="C5" s="13">
        <f>1250*Lookups!F26</f>
        <v>226.2931034</v>
      </c>
      <c r="D5" s="13">
        <f t="shared" ref="D5:N5" si="2">C5</f>
        <v>226.2931034</v>
      </c>
      <c r="E5" s="13">
        <f t="shared" si="2"/>
        <v>226.2931034</v>
      </c>
      <c r="F5" s="13">
        <f t="shared" si="2"/>
        <v>226.2931034</v>
      </c>
      <c r="G5" s="13">
        <f t="shared" si="2"/>
        <v>226.2931034</v>
      </c>
      <c r="H5" s="13">
        <f t="shared" si="2"/>
        <v>226.2931034</v>
      </c>
      <c r="I5" s="13">
        <f t="shared" si="2"/>
        <v>226.2931034</v>
      </c>
      <c r="J5" s="13">
        <f t="shared" si="2"/>
        <v>226.2931034</v>
      </c>
      <c r="K5" s="13">
        <f t="shared" si="2"/>
        <v>226.2931034</v>
      </c>
      <c r="L5" s="13">
        <f t="shared" si="2"/>
        <v>226.2931034</v>
      </c>
      <c r="M5" s="13">
        <f t="shared" si="2"/>
        <v>226.2931034</v>
      </c>
      <c r="N5" s="13">
        <f t="shared" si="2"/>
        <v>226.2931034</v>
      </c>
    </row>
    <row r="6" ht="15.75" customHeight="1">
      <c r="A6" s="7" t="s">
        <v>96</v>
      </c>
      <c r="B6" s="7">
        <v>5.0</v>
      </c>
      <c r="C6" s="13">
        <f>1250*Lookups!F27</f>
        <v>145.4741379</v>
      </c>
      <c r="D6" s="13">
        <f t="shared" ref="D6:N6" si="3">C6</f>
        <v>145.4741379</v>
      </c>
      <c r="E6" s="13">
        <f t="shared" si="3"/>
        <v>145.4741379</v>
      </c>
      <c r="F6" s="13">
        <f t="shared" si="3"/>
        <v>145.4741379</v>
      </c>
      <c r="G6" s="13">
        <f t="shared" si="3"/>
        <v>145.4741379</v>
      </c>
      <c r="H6" s="13">
        <f t="shared" si="3"/>
        <v>145.4741379</v>
      </c>
      <c r="I6" s="13">
        <f t="shared" si="3"/>
        <v>145.4741379</v>
      </c>
      <c r="J6" s="13">
        <f t="shared" si="3"/>
        <v>145.4741379</v>
      </c>
      <c r="K6" s="13">
        <f t="shared" si="3"/>
        <v>145.4741379</v>
      </c>
      <c r="L6" s="13">
        <f t="shared" si="3"/>
        <v>145.4741379</v>
      </c>
      <c r="M6" s="13">
        <f t="shared" si="3"/>
        <v>145.4741379</v>
      </c>
      <c r="N6" s="13">
        <f t="shared" si="3"/>
        <v>145.4741379</v>
      </c>
    </row>
    <row r="7" ht="15.75" hidden="1" customHeight="1">
      <c r="A7" s="7" t="s">
        <v>96</v>
      </c>
      <c r="B7" s="7">
        <v>6.0</v>
      </c>
      <c r="C7" s="13">
        <f>1250*Lookups!F28</f>
        <v>206.5373563</v>
      </c>
      <c r="D7" s="13">
        <f t="shared" ref="D7:N7" si="4">C7</f>
        <v>206.5373563</v>
      </c>
      <c r="E7" s="13">
        <f t="shared" si="4"/>
        <v>206.5373563</v>
      </c>
      <c r="F7" s="13">
        <f t="shared" si="4"/>
        <v>206.5373563</v>
      </c>
      <c r="G7" s="13">
        <f t="shared" si="4"/>
        <v>206.5373563</v>
      </c>
      <c r="H7" s="13">
        <f t="shared" si="4"/>
        <v>206.5373563</v>
      </c>
      <c r="I7" s="13">
        <f t="shared" si="4"/>
        <v>206.5373563</v>
      </c>
      <c r="J7" s="13">
        <f t="shared" si="4"/>
        <v>206.5373563</v>
      </c>
      <c r="K7" s="13">
        <f t="shared" si="4"/>
        <v>206.5373563</v>
      </c>
      <c r="L7" s="13">
        <f t="shared" si="4"/>
        <v>206.5373563</v>
      </c>
      <c r="M7" s="13">
        <f t="shared" si="4"/>
        <v>206.5373563</v>
      </c>
      <c r="N7" s="13">
        <f t="shared" si="4"/>
        <v>206.5373563</v>
      </c>
    </row>
    <row r="8" ht="15.75" customHeight="1">
      <c r="A8" s="7" t="s">
        <v>96</v>
      </c>
      <c r="B8" s="7">
        <v>7.0</v>
      </c>
      <c r="C8" s="13">
        <f>1250*Lookups!F29</f>
        <v>321.4798851</v>
      </c>
      <c r="D8" s="13">
        <f t="shared" ref="D8:N8" si="5">C8</f>
        <v>321.4798851</v>
      </c>
      <c r="E8" s="13">
        <f t="shared" si="5"/>
        <v>321.4798851</v>
      </c>
      <c r="F8" s="13">
        <f t="shared" si="5"/>
        <v>321.4798851</v>
      </c>
      <c r="G8" s="13">
        <f t="shared" si="5"/>
        <v>321.4798851</v>
      </c>
      <c r="H8" s="13">
        <f t="shared" si="5"/>
        <v>321.4798851</v>
      </c>
      <c r="I8" s="13">
        <f t="shared" si="5"/>
        <v>321.4798851</v>
      </c>
      <c r="J8" s="13">
        <f t="shared" si="5"/>
        <v>321.4798851</v>
      </c>
      <c r="K8" s="13">
        <f t="shared" si="5"/>
        <v>321.4798851</v>
      </c>
      <c r="L8" s="13">
        <f t="shared" si="5"/>
        <v>321.4798851</v>
      </c>
      <c r="M8" s="13">
        <f t="shared" si="5"/>
        <v>321.4798851</v>
      </c>
      <c r="N8" s="13">
        <f t="shared" si="5"/>
        <v>321.4798851</v>
      </c>
    </row>
    <row r="9" ht="15.75" customHeight="1">
      <c r="A9" s="7" t="s">
        <v>97</v>
      </c>
      <c r="B9" s="7">
        <v>2.0</v>
      </c>
      <c r="C9" s="7">
        <v>93.0</v>
      </c>
      <c r="D9" s="7">
        <v>93.0</v>
      </c>
      <c r="E9" s="7">
        <v>93.0</v>
      </c>
      <c r="F9" s="7">
        <v>93.0</v>
      </c>
      <c r="G9" s="7">
        <v>93.0</v>
      </c>
      <c r="H9" s="7">
        <v>93.0</v>
      </c>
      <c r="I9" s="7">
        <v>93.0</v>
      </c>
      <c r="J9" s="7">
        <v>93.0</v>
      </c>
      <c r="K9" s="7">
        <v>93.0</v>
      </c>
      <c r="L9" s="7">
        <v>93.0</v>
      </c>
      <c r="M9" s="7">
        <v>93.0</v>
      </c>
      <c r="N9" s="7">
        <v>93.0</v>
      </c>
    </row>
    <row r="10" ht="15.75" customHeight="1">
      <c r="A10" s="7" t="s">
        <v>97</v>
      </c>
      <c r="B10" s="7">
        <v>4.0</v>
      </c>
      <c r="C10" s="7">
        <v>62.0</v>
      </c>
      <c r="D10" s="7">
        <v>62.0</v>
      </c>
      <c r="E10" s="7">
        <v>62.0</v>
      </c>
      <c r="F10" s="7">
        <v>62.0</v>
      </c>
      <c r="G10" s="7">
        <v>62.0</v>
      </c>
      <c r="H10" s="7">
        <v>62.0</v>
      </c>
      <c r="I10" s="7">
        <v>62.0</v>
      </c>
      <c r="J10" s="7">
        <v>62.0</v>
      </c>
      <c r="K10" s="7">
        <v>62.0</v>
      </c>
      <c r="L10" s="7">
        <v>62.0</v>
      </c>
      <c r="M10" s="7">
        <v>62.0</v>
      </c>
      <c r="N10" s="7">
        <v>62.0</v>
      </c>
    </row>
    <row r="11" ht="15.75" customHeight="1">
      <c r="A11" s="7" t="s">
        <v>97</v>
      </c>
      <c r="B11" s="7">
        <v>5.0</v>
      </c>
      <c r="C11" s="7">
        <v>40.0</v>
      </c>
      <c r="D11" s="7">
        <v>40.0</v>
      </c>
      <c r="E11" s="7">
        <v>40.0</v>
      </c>
      <c r="F11" s="7">
        <v>40.0</v>
      </c>
      <c r="G11" s="7">
        <v>40.0</v>
      </c>
      <c r="H11" s="7">
        <v>40.0</v>
      </c>
      <c r="I11" s="7">
        <v>40.0</v>
      </c>
      <c r="J11" s="7">
        <v>40.0</v>
      </c>
      <c r="K11" s="7">
        <v>40.0</v>
      </c>
      <c r="L11" s="7">
        <v>40.0</v>
      </c>
      <c r="M11" s="7">
        <v>40.0</v>
      </c>
      <c r="N11" s="7">
        <v>40.0</v>
      </c>
    </row>
    <row r="12" ht="15.75" hidden="1" customHeight="1">
      <c r="A12" s="7" t="s">
        <v>97</v>
      </c>
      <c r="B12" s="7">
        <v>6.0</v>
      </c>
      <c r="C12" s="7">
        <v>57.0</v>
      </c>
      <c r="D12" s="7">
        <v>57.0</v>
      </c>
      <c r="E12" s="7">
        <v>57.0</v>
      </c>
      <c r="F12" s="7">
        <v>57.0</v>
      </c>
      <c r="G12" s="7">
        <v>57.0</v>
      </c>
      <c r="H12" s="7">
        <v>57.0</v>
      </c>
      <c r="I12" s="7">
        <v>57.0</v>
      </c>
      <c r="J12" s="7">
        <v>57.0</v>
      </c>
      <c r="K12" s="7">
        <v>57.0</v>
      </c>
      <c r="L12" s="7">
        <v>57.0</v>
      </c>
      <c r="M12" s="7">
        <v>57.0</v>
      </c>
      <c r="N12" s="7">
        <v>57.0</v>
      </c>
    </row>
    <row r="13" ht="15.75" customHeight="1">
      <c r="A13" s="7" t="s">
        <v>97</v>
      </c>
      <c r="B13" s="7">
        <v>7.0</v>
      </c>
      <c r="C13" s="7">
        <v>47.0</v>
      </c>
      <c r="D13" s="7">
        <v>47.0</v>
      </c>
      <c r="E13" s="7">
        <v>47.0</v>
      </c>
      <c r="F13" s="7">
        <v>47.0</v>
      </c>
      <c r="G13" s="7">
        <v>47.0</v>
      </c>
      <c r="H13" s="7">
        <v>47.0</v>
      </c>
      <c r="I13" s="7">
        <v>47.0</v>
      </c>
      <c r="J13" s="7">
        <v>47.0</v>
      </c>
      <c r="K13" s="7">
        <v>47.0</v>
      </c>
      <c r="L13" s="7">
        <v>47.0</v>
      </c>
      <c r="M13" s="7">
        <v>47.0</v>
      </c>
      <c r="N13" s="7">
        <v>47.0</v>
      </c>
    </row>
    <row r="14" ht="15.75" customHeight="1">
      <c r="A14" s="7" t="s">
        <v>98</v>
      </c>
      <c r="B14" s="7">
        <v>2.0</v>
      </c>
      <c r="C14" s="7">
        <v>20.0</v>
      </c>
      <c r="D14" s="7">
        <v>20.0</v>
      </c>
      <c r="E14" s="7">
        <v>20.0</v>
      </c>
      <c r="F14" s="7">
        <v>20.0</v>
      </c>
      <c r="G14" s="7">
        <v>20.0</v>
      </c>
      <c r="H14" s="7">
        <v>20.0</v>
      </c>
      <c r="I14" s="7">
        <v>20.0</v>
      </c>
      <c r="J14" s="7">
        <v>20.0</v>
      </c>
      <c r="K14" s="7">
        <v>20.0</v>
      </c>
      <c r="L14" s="7">
        <v>20.0</v>
      </c>
      <c r="M14" s="7">
        <v>20.0</v>
      </c>
      <c r="N14" s="7">
        <v>20.0</v>
      </c>
    </row>
    <row r="15" ht="15.75" customHeight="1">
      <c r="A15" s="7" t="s">
        <v>98</v>
      </c>
      <c r="B15" s="7">
        <v>4.0</v>
      </c>
      <c r="C15" s="7">
        <v>20.0</v>
      </c>
      <c r="D15" s="7">
        <v>20.0</v>
      </c>
      <c r="E15" s="7">
        <v>20.0</v>
      </c>
      <c r="F15" s="7">
        <v>20.0</v>
      </c>
      <c r="G15" s="7">
        <v>20.0</v>
      </c>
      <c r="H15" s="7">
        <v>20.0</v>
      </c>
      <c r="I15" s="7">
        <v>20.0</v>
      </c>
      <c r="J15" s="7">
        <v>20.0</v>
      </c>
      <c r="K15" s="7">
        <v>20.0</v>
      </c>
      <c r="L15" s="7">
        <v>20.0</v>
      </c>
      <c r="M15" s="7">
        <v>20.0</v>
      </c>
      <c r="N15" s="7">
        <v>20.0</v>
      </c>
    </row>
    <row r="16" ht="15.75" customHeight="1">
      <c r="A16" s="7" t="s">
        <v>98</v>
      </c>
      <c r="B16" s="7">
        <v>5.0</v>
      </c>
      <c r="C16" s="7">
        <v>20.0</v>
      </c>
      <c r="D16" s="7">
        <v>20.0</v>
      </c>
      <c r="E16" s="7">
        <v>20.0</v>
      </c>
      <c r="F16" s="7">
        <v>20.0</v>
      </c>
      <c r="G16" s="7">
        <v>20.0</v>
      </c>
      <c r="H16" s="7">
        <v>20.0</v>
      </c>
      <c r="I16" s="7">
        <v>20.0</v>
      </c>
      <c r="J16" s="7">
        <v>20.0</v>
      </c>
      <c r="K16" s="7">
        <v>20.0</v>
      </c>
      <c r="L16" s="7">
        <v>20.0</v>
      </c>
      <c r="M16" s="7">
        <v>20.0</v>
      </c>
      <c r="N16" s="7">
        <v>20.0</v>
      </c>
    </row>
    <row r="17" ht="15.75" hidden="1" customHeight="1">
      <c r="A17" s="7" t="s">
        <v>98</v>
      </c>
      <c r="B17" s="7">
        <v>6.0</v>
      </c>
      <c r="C17" s="7">
        <v>20.0</v>
      </c>
      <c r="D17" s="7">
        <v>20.0</v>
      </c>
      <c r="E17" s="7">
        <v>20.0</v>
      </c>
      <c r="F17" s="7">
        <v>20.0</v>
      </c>
      <c r="G17" s="7">
        <v>20.0</v>
      </c>
      <c r="H17" s="7">
        <v>20.0</v>
      </c>
      <c r="I17" s="7">
        <v>20.0</v>
      </c>
      <c r="J17" s="7">
        <v>20.0</v>
      </c>
      <c r="K17" s="7">
        <v>20.0</v>
      </c>
      <c r="L17" s="7">
        <v>20.0</v>
      </c>
      <c r="M17" s="7">
        <v>20.0</v>
      </c>
      <c r="N17" s="7">
        <v>20.0</v>
      </c>
    </row>
    <row r="18" ht="15.75" customHeight="1">
      <c r="A18" s="7" t="s">
        <v>98</v>
      </c>
      <c r="B18" s="7">
        <v>7.0</v>
      </c>
      <c r="C18" s="7">
        <v>20.0</v>
      </c>
      <c r="D18" s="7">
        <v>20.0</v>
      </c>
      <c r="E18" s="7">
        <v>20.0</v>
      </c>
      <c r="F18" s="7">
        <v>20.0</v>
      </c>
      <c r="G18" s="7">
        <v>20.0</v>
      </c>
      <c r="H18" s="7">
        <v>20.0</v>
      </c>
      <c r="I18" s="7">
        <v>20.0</v>
      </c>
      <c r="J18" s="7">
        <v>20.0</v>
      </c>
      <c r="K18" s="7">
        <v>20.0</v>
      </c>
      <c r="L18" s="7">
        <v>20.0</v>
      </c>
      <c r="M18" s="7">
        <v>20.0</v>
      </c>
      <c r="N18" s="7">
        <v>20.0</v>
      </c>
    </row>
    <row r="19" ht="15.75" hidden="1" customHeight="1">
      <c r="A19" s="7" t="s">
        <v>98</v>
      </c>
      <c r="B19" s="7">
        <v>8.0</v>
      </c>
      <c r="C19" s="7">
        <v>20.0</v>
      </c>
      <c r="D19" s="7">
        <v>20.0</v>
      </c>
      <c r="E19" s="7">
        <v>20.0</v>
      </c>
      <c r="F19" s="7">
        <v>20.0</v>
      </c>
      <c r="G19" s="7">
        <v>20.0</v>
      </c>
      <c r="H19" s="7">
        <v>20.0</v>
      </c>
      <c r="I19" s="7">
        <v>20.0</v>
      </c>
      <c r="J19" s="7">
        <v>20.0</v>
      </c>
      <c r="K19" s="7">
        <v>20.0</v>
      </c>
      <c r="L19" s="7">
        <v>20.0</v>
      </c>
      <c r="M19" s="7">
        <v>20.0</v>
      </c>
      <c r="N19" s="7">
        <v>20.0</v>
      </c>
    </row>
    <row r="20" ht="15.75" hidden="1" customHeight="1">
      <c r="A20" s="7" t="s">
        <v>98</v>
      </c>
      <c r="B20" s="7">
        <v>0.0</v>
      </c>
      <c r="C20" s="7">
        <v>20.0</v>
      </c>
      <c r="D20" s="7">
        <v>20.0</v>
      </c>
      <c r="E20" s="7">
        <v>20.0</v>
      </c>
      <c r="F20" s="7">
        <v>20.0</v>
      </c>
      <c r="G20" s="7">
        <v>20.0</v>
      </c>
      <c r="H20" s="7">
        <v>20.0</v>
      </c>
      <c r="I20" s="7">
        <v>20.0</v>
      </c>
      <c r="J20" s="7">
        <v>20.0</v>
      </c>
      <c r="K20" s="7">
        <v>20.0</v>
      </c>
      <c r="L20" s="7">
        <v>20.0</v>
      </c>
      <c r="M20" s="7">
        <v>20.0</v>
      </c>
      <c r="N20" s="7">
        <v>20.0</v>
      </c>
    </row>
    <row r="21" ht="15.75" hidden="1" customHeight="1">
      <c r="A21" s="7" t="s">
        <v>99</v>
      </c>
      <c r="B21" s="7">
        <v>6.0</v>
      </c>
      <c r="C21" s="7">
        <v>31.71</v>
      </c>
      <c r="D21" s="7">
        <v>31.71</v>
      </c>
      <c r="E21" s="7">
        <v>31.71</v>
      </c>
      <c r="F21" s="7">
        <v>31.71</v>
      </c>
      <c r="G21" s="7">
        <v>31.71</v>
      </c>
      <c r="H21" s="7">
        <v>31.71</v>
      </c>
      <c r="I21" s="7">
        <v>31.71</v>
      </c>
      <c r="J21" s="7">
        <v>31.71</v>
      </c>
      <c r="K21" s="7">
        <v>31.71</v>
      </c>
      <c r="L21" s="7">
        <v>31.71</v>
      </c>
      <c r="M21" s="7">
        <v>31.71</v>
      </c>
      <c r="N21" s="7">
        <v>31.71</v>
      </c>
    </row>
    <row r="22" ht="15.75" customHeight="1">
      <c r="A22" s="7" t="s">
        <v>100</v>
      </c>
      <c r="B22" s="7">
        <v>2.0</v>
      </c>
      <c r="C22" s="7">
        <v>31.71</v>
      </c>
      <c r="D22" s="7">
        <v>31.71</v>
      </c>
      <c r="E22" s="7">
        <v>31.71</v>
      </c>
      <c r="F22" s="7">
        <v>31.71</v>
      </c>
      <c r="G22" s="7">
        <v>31.71</v>
      </c>
      <c r="H22" s="7">
        <v>31.71</v>
      </c>
      <c r="I22" s="7">
        <v>31.71</v>
      </c>
      <c r="J22" s="7">
        <v>31.71</v>
      </c>
      <c r="K22" s="7">
        <v>31.71</v>
      </c>
      <c r="L22" s="7">
        <v>31.71</v>
      </c>
      <c r="M22" s="7">
        <v>31.71</v>
      </c>
      <c r="N22" s="7">
        <v>31.71</v>
      </c>
    </row>
    <row r="23" ht="15.75" customHeight="1">
      <c r="A23" s="7" t="s">
        <v>100</v>
      </c>
      <c r="B23" s="7">
        <v>4.0</v>
      </c>
      <c r="C23" s="7">
        <v>31.71</v>
      </c>
      <c r="D23" s="7">
        <v>31.71</v>
      </c>
      <c r="E23" s="7">
        <v>31.71</v>
      </c>
      <c r="F23" s="7">
        <v>31.71</v>
      </c>
      <c r="G23" s="7">
        <v>31.71</v>
      </c>
      <c r="H23" s="7">
        <v>31.71</v>
      </c>
      <c r="I23" s="7">
        <v>31.71</v>
      </c>
      <c r="J23" s="7">
        <v>31.71</v>
      </c>
      <c r="K23" s="7">
        <v>31.71</v>
      </c>
      <c r="L23" s="7">
        <v>31.71</v>
      </c>
      <c r="M23" s="7">
        <v>31.71</v>
      </c>
      <c r="N23" s="7">
        <v>31.71</v>
      </c>
    </row>
    <row r="24" ht="15.75" customHeight="1">
      <c r="A24" s="7" t="s">
        <v>100</v>
      </c>
      <c r="B24" s="7">
        <v>5.0</v>
      </c>
      <c r="C24" s="7">
        <v>31.71</v>
      </c>
      <c r="D24" s="7">
        <v>31.71</v>
      </c>
      <c r="E24" s="7">
        <v>31.71</v>
      </c>
      <c r="F24" s="7">
        <v>31.71</v>
      </c>
      <c r="G24" s="7">
        <v>31.71</v>
      </c>
      <c r="H24" s="7">
        <v>31.71</v>
      </c>
      <c r="I24" s="7">
        <v>31.71</v>
      </c>
      <c r="J24" s="7">
        <v>31.71</v>
      </c>
      <c r="K24" s="7">
        <v>31.71</v>
      </c>
      <c r="L24" s="7">
        <v>31.71</v>
      </c>
      <c r="M24" s="7">
        <v>31.71</v>
      </c>
      <c r="N24" s="7">
        <v>31.71</v>
      </c>
    </row>
    <row r="25" ht="15.75" hidden="1" customHeight="1">
      <c r="A25" s="7" t="s">
        <v>100</v>
      </c>
      <c r="B25" s="7">
        <v>0.0</v>
      </c>
      <c r="C25" s="7">
        <v>48.23</v>
      </c>
      <c r="D25" s="7">
        <v>48.23</v>
      </c>
      <c r="E25" s="7">
        <v>48.23</v>
      </c>
      <c r="F25" s="7">
        <v>48.23</v>
      </c>
      <c r="G25" s="7">
        <v>48.23</v>
      </c>
      <c r="H25" s="7">
        <v>48.23</v>
      </c>
      <c r="I25" s="7">
        <v>48.23</v>
      </c>
      <c r="J25" s="7">
        <v>48.23</v>
      </c>
      <c r="K25" s="7">
        <v>48.23</v>
      </c>
      <c r="L25" s="7">
        <v>48.23</v>
      </c>
      <c r="M25" s="7">
        <v>48.23</v>
      </c>
      <c r="N25" s="7">
        <v>48.23</v>
      </c>
    </row>
    <row r="26" ht="15.75" customHeight="1">
      <c r="A26" s="7" t="s">
        <v>101</v>
      </c>
      <c r="B26" s="7">
        <v>2.0</v>
      </c>
      <c r="C26" s="7">
        <v>12.0</v>
      </c>
      <c r="D26" s="7">
        <v>12.0</v>
      </c>
      <c r="E26" s="7">
        <v>12.0</v>
      </c>
      <c r="F26" s="7">
        <v>12.0</v>
      </c>
      <c r="G26" s="7">
        <v>12.0</v>
      </c>
      <c r="H26" s="7">
        <v>12.0</v>
      </c>
      <c r="I26" s="7">
        <v>12.0</v>
      </c>
      <c r="J26" s="7">
        <v>12.0</v>
      </c>
      <c r="K26" s="7">
        <v>12.0</v>
      </c>
      <c r="L26" s="7">
        <v>12.0</v>
      </c>
      <c r="M26" s="7">
        <v>12.0</v>
      </c>
      <c r="N26" s="7">
        <v>12.0</v>
      </c>
    </row>
    <row r="27" ht="15.75" customHeight="1">
      <c r="A27" s="7" t="s">
        <v>101</v>
      </c>
      <c r="B27" s="7">
        <v>7.0</v>
      </c>
      <c r="C27" s="7">
        <v>12.0</v>
      </c>
      <c r="D27" s="7">
        <v>12.0</v>
      </c>
      <c r="E27" s="7">
        <v>12.0</v>
      </c>
      <c r="F27" s="7">
        <v>12.0</v>
      </c>
      <c r="G27" s="7">
        <v>12.0</v>
      </c>
      <c r="H27" s="7">
        <v>12.0</v>
      </c>
      <c r="I27" s="7">
        <v>12.0</v>
      </c>
      <c r="J27" s="7">
        <v>12.0</v>
      </c>
      <c r="K27" s="7">
        <v>12.0</v>
      </c>
      <c r="L27" s="7">
        <v>12.0</v>
      </c>
      <c r="M27" s="7">
        <v>12.0</v>
      </c>
      <c r="N27" s="7">
        <v>12.0</v>
      </c>
    </row>
    <row r="28" ht="15.75" customHeight="1">
      <c r="A28" s="7" t="s">
        <v>102</v>
      </c>
      <c r="B28" s="7">
        <v>2.0</v>
      </c>
      <c r="C28" s="7">
        <f t="shared" ref="C28:N28" si="6">1800/6/12</f>
        <v>25</v>
      </c>
      <c r="D28" s="7">
        <f t="shared" si="6"/>
        <v>25</v>
      </c>
      <c r="E28" s="7">
        <f t="shared" si="6"/>
        <v>25</v>
      </c>
      <c r="F28" s="7">
        <f t="shared" si="6"/>
        <v>25</v>
      </c>
      <c r="G28" s="7">
        <f t="shared" si="6"/>
        <v>25</v>
      </c>
      <c r="H28" s="7">
        <f t="shared" si="6"/>
        <v>25</v>
      </c>
      <c r="I28" s="7">
        <f t="shared" si="6"/>
        <v>25</v>
      </c>
      <c r="J28" s="7">
        <f t="shared" si="6"/>
        <v>25</v>
      </c>
      <c r="K28" s="7">
        <f t="shared" si="6"/>
        <v>25</v>
      </c>
      <c r="L28" s="7">
        <f t="shared" si="6"/>
        <v>25</v>
      </c>
      <c r="M28" s="7">
        <f t="shared" si="6"/>
        <v>25</v>
      </c>
      <c r="N28" s="7">
        <f t="shared" si="6"/>
        <v>25</v>
      </c>
    </row>
    <row r="29" ht="15.75" customHeight="1">
      <c r="A29" s="7" t="s">
        <v>102</v>
      </c>
      <c r="B29" s="7">
        <v>4.0</v>
      </c>
      <c r="C29" s="7">
        <f t="shared" ref="C29:N29" si="7">1800/6/12</f>
        <v>25</v>
      </c>
      <c r="D29" s="7">
        <f t="shared" si="7"/>
        <v>25</v>
      </c>
      <c r="E29" s="7">
        <f t="shared" si="7"/>
        <v>25</v>
      </c>
      <c r="F29" s="7">
        <f t="shared" si="7"/>
        <v>25</v>
      </c>
      <c r="G29" s="7">
        <f t="shared" si="7"/>
        <v>25</v>
      </c>
      <c r="H29" s="7">
        <f t="shared" si="7"/>
        <v>25</v>
      </c>
      <c r="I29" s="7">
        <f t="shared" si="7"/>
        <v>25</v>
      </c>
      <c r="J29" s="7">
        <f t="shared" si="7"/>
        <v>25</v>
      </c>
      <c r="K29" s="7">
        <f t="shared" si="7"/>
        <v>25</v>
      </c>
      <c r="L29" s="7">
        <f t="shared" si="7"/>
        <v>25</v>
      </c>
      <c r="M29" s="7">
        <f t="shared" si="7"/>
        <v>25</v>
      </c>
      <c r="N29" s="7">
        <f t="shared" si="7"/>
        <v>25</v>
      </c>
    </row>
    <row r="30" ht="15.75" customHeight="1">
      <c r="A30" s="7" t="s">
        <v>102</v>
      </c>
      <c r="B30" s="7">
        <v>5.0</v>
      </c>
      <c r="C30" s="7">
        <f t="shared" ref="C30:N30" si="8">1800/6/12</f>
        <v>25</v>
      </c>
      <c r="D30" s="7">
        <f t="shared" si="8"/>
        <v>25</v>
      </c>
      <c r="E30" s="7">
        <f t="shared" si="8"/>
        <v>25</v>
      </c>
      <c r="F30" s="7">
        <f t="shared" si="8"/>
        <v>25</v>
      </c>
      <c r="G30" s="7">
        <f t="shared" si="8"/>
        <v>25</v>
      </c>
      <c r="H30" s="7">
        <f t="shared" si="8"/>
        <v>25</v>
      </c>
      <c r="I30" s="7">
        <f t="shared" si="8"/>
        <v>25</v>
      </c>
      <c r="J30" s="7">
        <f t="shared" si="8"/>
        <v>25</v>
      </c>
      <c r="K30" s="7">
        <f t="shared" si="8"/>
        <v>25</v>
      </c>
      <c r="L30" s="7">
        <f t="shared" si="8"/>
        <v>25</v>
      </c>
      <c r="M30" s="7">
        <f t="shared" si="8"/>
        <v>25</v>
      </c>
      <c r="N30" s="7">
        <f t="shared" si="8"/>
        <v>25</v>
      </c>
    </row>
    <row r="31" ht="15.75" hidden="1" customHeight="1">
      <c r="A31" s="7" t="s">
        <v>102</v>
      </c>
      <c r="B31" s="7">
        <v>6.0</v>
      </c>
      <c r="C31" s="7">
        <f t="shared" ref="C31:N31" si="9">1800/6/12</f>
        <v>25</v>
      </c>
      <c r="D31" s="7">
        <f t="shared" si="9"/>
        <v>25</v>
      </c>
      <c r="E31" s="7">
        <f t="shared" si="9"/>
        <v>25</v>
      </c>
      <c r="F31" s="7">
        <f t="shared" si="9"/>
        <v>25</v>
      </c>
      <c r="G31" s="7">
        <f t="shared" si="9"/>
        <v>25</v>
      </c>
      <c r="H31" s="7">
        <f t="shared" si="9"/>
        <v>25</v>
      </c>
      <c r="I31" s="7">
        <f t="shared" si="9"/>
        <v>25</v>
      </c>
      <c r="J31" s="7">
        <f t="shared" si="9"/>
        <v>25</v>
      </c>
      <c r="K31" s="7">
        <f t="shared" si="9"/>
        <v>25</v>
      </c>
      <c r="L31" s="7">
        <f t="shared" si="9"/>
        <v>25</v>
      </c>
      <c r="M31" s="7">
        <f t="shared" si="9"/>
        <v>25</v>
      </c>
      <c r="N31" s="7">
        <f t="shared" si="9"/>
        <v>25</v>
      </c>
    </row>
    <row r="32" ht="15.75" hidden="1" customHeight="1">
      <c r="A32" s="7" t="s">
        <v>102</v>
      </c>
      <c r="B32" s="7">
        <v>0.0</v>
      </c>
      <c r="C32" s="7">
        <f t="shared" ref="C32:N32" si="10">1800/6/12</f>
        <v>25</v>
      </c>
      <c r="D32" s="7">
        <f t="shared" si="10"/>
        <v>25</v>
      </c>
      <c r="E32" s="7">
        <f t="shared" si="10"/>
        <v>25</v>
      </c>
      <c r="F32" s="7">
        <f t="shared" si="10"/>
        <v>25</v>
      </c>
      <c r="G32" s="7">
        <f t="shared" si="10"/>
        <v>25</v>
      </c>
      <c r="H32" s="7">
        <f t="shared" si="10"/>
        <v>25</v>
      </c>
      <c r="I32" s="7">
        <f t="shared" si="10"/>
        <v>25</v>
      </c>
      <c r="J32" s="7">
        <f t="shared" si="10"/>
        <v>25</v>
      </c>
      <c r="K32" s="7">
        <f t="shared" si="10"/>
        <v>25</v>
      </c>
      <c r="L32" s="7">
        <f t="shared" si="10"/>
        <v>25</v>
      </c>
      <c r="M32" s="7">
        <f t="shared" si="10"/>
        <v>25</v>
      </c>
      <c r="N32" s="7">
        <f t="shared" si="10"/>
        <v>25</v>
      </c>
    </row>
    <row r="33" ht="15.75" hidden="1" customHeight="1">
      <c r="A33" s="7" t="s">
        <v>102</v>
      </c>
      <c r="B33" s="7">
        <v>8.0</v>
      </c>
      <c r="C33" s="7">
        <f t="shared" ref="C33:N33" si="11">1800/6/12</f>
        <v>25</v>
      </c>
      <c r="D33" s="7">
        <f t="shared" si="11"/>
        <v>25</v>
      </c>
      <c r="E33" s="7">
        <f t="shared" si="11"/>
        <v>25</v>
      </c>
      <c r="F33" s="7">
        <f t="shared" si="11"/>
        <v>25</v>
      </c>
      <c r="G33" s="7">
        <f t="shared" si="11"/>
        <v>25</v>
      </c>
      <c r="H33" s="7">
        <f t="shared" si="11"/>
        <v>25</v>
      </c>
      <c r="I33" s="7">
        <f t="shared" si="11"/>
        <v>25</v>
      </c>
      <c r="J33" s="7">
        <f t="shared" si="11"/>
        <v>25</v>
      </c>
      <c r="K33" s="7">
        <f t="shared" si="11"/>
        <v>25</v>
      </c>
      <c r="L33" s="7">
        <f t="shared" si="11"/>
        <v>25</v>
      </c>
      <c r="M33" s="7">
        <f t="shared" si="11"/>
        <v>25</v>
      </c>
      <c r="N33" s="7">
        <f t="shared" si="11"/>
        <v>25</v>
      </c>
    </row>
    <row r="34" ht="15.75" customHeight="1">
      <c r="A34" s="7" t="s">
        <v>103</v>
      </c>
      <c r="B34" s="7">
        <v>2.0</v>
      </c>
      <c r="C34" s="7">
        <v>35.0</v>
      </c>
      <c r="D34" s="7">
        <v>35.0</v>
      </c>
      <c r="E34" s="7">
        <v>35.0</v>
      </c>
      <c r="F34" s="7">
        <v>35.0</v>
      </c>
      <c r="G34" s="7">
        <v>35.0</v>
      </c>
      <c r="H34" s="7">
        <v>35.0</v>
      </c>
      <c r="I34" s="7">
        <v>35.0</v>
      </c>
      <c r="J34" s="7">
        <v>35.0</v>
      </c>
      <c r="K34" s="7">
        <v>35.0</v>
      </c>
      <c r="L34" s="7">
        <v>35.0</v>
      </c>
      <c r="M34" s="7">
        <v>35.0</v>
      </c>
      <c r="N34" s="7">
        <v>35.0</v>
      </c>
    </row>
    <row r="35" ht="15.75" customHeight="1">
      <c r="A35" s="7" t="s">
        <v>103</v>
      </c>
      <c r="B35" s="7">
        <v>4.0</v>
      </c>
      <c r="C35" s="7">
        <v>35.0</v>
      </c>
      <c r="D35" s="7">
        <v>35.0</v>
      </c>
      <c r="E35" s="7">
        <v>35.0</v>
      </c>
      <c r="F35" s="7">
        <v>35.0</v>
      </c>
      <c r="G35" s="7">
        <v>35.0</v>
      </c>
      <c r="H35" s="7">
        <v>35.0</v>
      </c>
      <c r="I35" s="7">
        <v>35.0</v>
      </c>
      <c r="J35" s="7">
        <v>35.0</v>
      </c>
      <c r="K35" s="7">
        <v>35.0</v>
      </c>
      <c r="L35" s="7">
        <v>35.0</v>
      </c>
      <c r="M35" s="7">
        <v>35.0</v>
      </c>
      <c r="N35" s="7">
        <v>35.0</v>
      </c>
    </row>
    <row r="36" ht="15.75" customHeight="1">
      <c r="A36" s="7" t="s">
        <v>103</v>
      </c>
      <c r="B36" s="7">
        <v>5.0</v>
      </c>
      <c r="C36" s="7">
        <v>35.0</v>
      </c>
      <c r="D36" s="7">
        <v>35.0</v>
      </c>
      <c r="E36" s="7">
        <v>35.0</v>
      </c>
      <c r="F36" s="7">
        <v>35.0</v>
      </c>
      <c r="G36" s="7">
        <v>35.0</v>
      </c>
      <c r="H36" s="7">
        <v>35.0</v>
      </c>
      <c r="I36" s="7">
        <v>35.0</v>
      </c>
      <c r="J36" s="7">
        <v>35.0</v>
      </c>
      <c r="K36" s="7">
        <v>35.0</v>
      </c>
      <c r="L36" s="7">
        <v>35.0</v>
      </c>
      <c r="M36" s="7">
        <v>35.0</v>
      </c>
      <c r="N36" s="7">
        <v>35.0</v>
      </c>
    </row>
    <row r="37" ht="15.75" hidden="1" customHeight="1">
      <c r="A37" s="7" t="s">
        <v>103</v>
      </c>
      <c r="B37" s="7">
        <v>6.0</v>
      </c>
      <c r="C37" s="7">
        <v>35.0</v>
      </c>
      <c r="D37" s="7">
        <v>35.0</v>
      </c>
      <c r="E37" s="7">
        <v>35.0</v>
      </c>
      <c r="F37" s="7">
        <v>35.0</v>
      </c>
      <c r="G37" s="7">
        <v>35.0</v>
      </c>
      <c r="H37" s="7">
        <v>35.0</v>
      </c>
      <c r="I37" s="7">
        <v>35.0</v>
      </c>
      <c r="J37" s="7">
        <v>35.0</v>
      </c>
      <c r="K37" s="7">
        <v>35.0</v>
      </c>
      <c r="L37" s="7">
        <v>35.0</v>
      </c>
      <c r="M37" s="7">
        <v>35.0</v>
      </c>
      <c r="N37" s="7">
        <v>35.0</v>
      </c>
    </row>
    <row r="38" ht="15.75" hidden="1" customHeight="1">
      <c r="A38" s="7" t="s">
        <v>103</v>
      </c>
      <c r="B38" s="7">
        <v>0.0</v>
      </c>
      <c r="C38" s="7">
        <v>50.0</v>
      </c>
      <c r="D38" s="7">
        <v>50.0</v>
      </c>
      <c r="E38" s="7">
        <v>50.0</v>
      </c>
      <c r="F38" s="7">
        <v>50.0</v>
      </c>
      <c r="G38" s="7">
        <v>50.0</v>
      </c>
      <c r="H38" s="7">
        <v>50.0</v>
      </c>
      <c r="I38" s="7">
        <v>50.0</v>
      </c>
      <c r="J38" s="7">
        <v>50.0</v>
      </c>
      <c r="K38" s="7">
        <v>50.0</v>
      </c>
      <c r="L38" s="7">
        <v>50.0</v>
      </c>
      <c r="M38" s="7">
        <v>50.0</v>
      </c>
      <c r="N38" s="7">
        <v>50.0</v>
      </c>
    </row>
    <row r="39" ht="15.75" customHeight="1">
      <c r="A39" s="7" t="s">
        <v>104</v>
      </c>
      <c r="B39" s="7">
        <v>5.0</v>
      </c>
      <c r="C39" s="7">
        <v>35.0</v>
      </c>
      <c r="D39" s="7">
        <v>35.0</v>
      </c>
      <c r="E39" s="7">
        <v>35.0</v>
      </c>
      <c r="F39" s="7">
        <v>35.0</v>
      </c>
      <c r="G39" s="7">
        <v>35.0</v>
      </c>
      <c r="H39" s="7">
        <v>35.0</v>
      </c>
      <c r="I39" s="7">
        <v>35.0</v>
      </c>
      <c r="J39" s="7">
        <v>35.0</v>
      </c>
      <c r="K39" s="7">
        <v>35.0</v>
      </c>
      <c r="L39" s="7">
        <v>35.0</v>
      </c>
      <c r="M39" s="7">
        <v>35.0</v>
      </c>
      <c r="N39" s="7">
        <v>35.0</v>
      </c>
    </row>
    <row r="40" ht="15.75" customHeight="1">
      <c r="A40" s="11" t="s">
        <v>105</v>
      </c>
      <c r="B40" s="11">
        <v>2.0</v>
      </c>
      <c r="C40" s="11">
        <v>16.0</v>
      </c>
      <c r="D40" s="11">
        <v>16.0</v>
      </c>
      <c r="E40" s="11">
        <v>16.0</v>
      </c>
      <c r="F40" s="11">
        <v>16.0</v>
      </c>
      <c r="G40" s="11">
        <v>16.0</v>
      </c>
      <c r="H40" s="11">
        <v>16.0</v>
      </c>
      <c r="I40" s="11">
        <v>16.0</v>
      </c>
      <c r="J40" s="11">
        <v>16.0</v>
      </c>
      <c r="K40" s="11">
        <v>16.0</v>
      </c>
      <c r="L40" s="11">
        <v>16.0</v>
      </c>
      <c r="M40" s="11">
        <v>16.0</v>
      </c>
      <c r="N40" s="11">
        <v>16.0</v>
      </c>
    </row>
    <row r="41" ht="15.75" customHeight="1">
      <c r="A41" s="11" t="s">
        <v>105</v>
      </c>
      <c r="B41" s="11">
        <v>4.0</v>
      </c>
      <c r="C41" s="11">
        <v>16.0</v>
      </c>
      <c r="D41" s="11">
        <v>16.0</v>
      </c>
      <c r="E41" s="11">
        <v>16.0</v>
      </c>
      <c r="F41" s="11">
        <v>16.0</v>
      </c>
      <c r="G41" s="11">
        <v>16.0</v>
      </c>
      <c r="H41" s="11">
        <v>16.0</v>
      </c>
      <c r="I41" s="11">
        <v>16.0</v>
      </c>
      <c r="J41" s="11">
        <v>16.0</v>
      </c>
      <c r="K41" s="11">
        <v>16.0</v>
      </c>
      <c r="L41" s="11">
        <v>16.0</v>
      </c>
      <c r="M41" s="11">
        <v>16.0</v>
      </c>
      <c r="N41" s="11">
        <v>16.0</v>
      </c>
    </row>
    <row r="42" ht="15.75" customHeight="1">
      <c r="A42" s="11" t="s">
        <v>105</v>
      </c>
      <c r="B42" s="11">
        <v>5.0</v>
      </c>
      <c r="C42" s="11">
        <v>16.0</v>
      </c>
      <c r="D42" s="11">
        <v>16.0</v>
      </c>
      <c r="E42" s="11">
        <v>16.0</v>
      </c>
      <c r="F42" s="11">
        <v>16.0</v>
      </c>
      <c r="G42" s="11">
        <v>16.0</v>
      </c>
      <c r="H42" s="11">
        <v>16.0</v>
      </c>
      <c r="I42" s="11">
        <v>16.0</v>
      </c>
      <c r="J42" s="11">
        <v>16.0</v>
      </c>
      <c r="K42" s="11">
        <v>16.0</v>
      </c>
      <c r="L42" s="11">
        <v>16.0</v>
      </c>
      <c r="M42" s="11">
        <v>16.0</v>
      </c>
      <c r="N42" s="11">
        <v>16.0</v>
      </c>
    </row>
    <row r="43" ht="15.75" customHeight="1">
      <c r="A43" s="11" t="s">
        <v>105</v>
      </c>
      <c r="B43" s="11">
        <v>7.0</v>
      </c>
      <c r="C43" s="11">
        <v>16.0</v>
      </c>
      <c r="D43" s="11">
        <v>16.0</v>
      </c>
      <c r="E43" s="11">
        <v>16.0</v>
      </c>
      <c r="F43" s="11">
        <v>16.0</v>
      </c>
      <c r="G43" s="11">
        <v>16.0</v>
      </c>
      <c r="H43" s="11">
        <v>16.0</v>
      </c>
      <c r="I43" s="11">
        <v>16.0</v>
      </c>
      <c r="J43" s="11">
        <v>16.0</v>
      </c>
      <c r="K43" s="11">
        <v>16.0</v>
      </c>
      <c r="L43" s="11">
        <v>16.0</v>
      </c>
      <c r="M43" s="11">
        <v>16.0</v>
      </c>
      <c r="N43" s="11">
        <v>16.0</v>
      </c>
    </row>
    <row r="44" ht="15.75" hidden="1" customHeight="1">
      <c r="A44" s="11" t="s">
        <v>105</v>
      </c>
      <c r="B44" s="11">
        <v>0.0</v>
      </c>
      <c r="C44" s="11">
        <v>16.0</v>
      </c>
      <c r="D44" s="11">
        <v>16.0</v>
      </c>
      <c r="E44" s="11">
        <v>16.0</v>
      </c>
      <c r="F44" s="11">
        <v>16.0</v>
      </c>
      <c r="G44" s="11">
        <v>16.0</v>
      </c>
      <c r="H44" s="11">
        <v>16.0</v>
      </c>
      <c r="I44" s="11">
        <v>16.0</v>
      </c>
      <c r="J44" s="11">
        <v>16.0</v>
      </c>
      <c r="K44" s="11">
        <v>16.0</v>
      </c>
      <c r="L44" s="11">
        <v>16.0</v>
      </c>
      <c r="M44" s="11">
        <v>16.0</v>
      </c>
      <c r="N44" s="11">
        <v>16.0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A$1:$Z$44">
    <filterColumn colId="1">
      <filters>
        <filter val="2"/>
        <filter val="4"/>
        <filter val="5"/>
        <filter val="7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 t="s">
        <v>106</v>
      </c>
      <c r="B1" s="15" t="s">
        <v>107</v>
      </c>
      <c r="C1" s="15" t="s">
        <v>108</v>
      </c>
      <c r="D1" s="15" t="s">
        <v>109</v>
      </c>
      <c r="E1" s="16" t="s">
        <v>110</v>
      </c>
      <c r="F1" s="17" t="s">
        <v>111</v>
      </c>
      <c r="G1" s="16" t="s">
        <v>112</v>
      </c>
    </row>
    <row r="2">
      <c r="A2" s="18">
        <v>50.0</v>
      </c>
      <c r="B2" s="18">
        <v>5.0</v>
      </c>
      <c r="C2" s="19">
        <v>46113.0</v>
      </c>
      <c r="D2" s="19">
        <v>46203.0</v>
      </c>
      <c r="E2" s="20">
        <v>68.0</v>
      </c>
      <c r="F2" s="20">
        <v>65.0</v>
      </c>
      <c r="G2" s="20">
        <v>1.0</v>
      </c>
    </row>
    <row r="3">
      <c r="A3" s="11">
        <v>51.0</v>
      </c>
      <c r="B3" s="18">
        <v>5.0</v>
      </c>
      <c r="C3" s="19">
        <v>46204.0</v>
      </c>
      <c r="D3" s="19">
        <v>46265.0</v>
      </c>
      <c r="E3" s="11">
        <v>130.0</v>
      </c>
      <c r="F3" s="20">
        <v>85.0</v>
      </c>
      <c r="G3" s="11">
        <v>2.0</v>
      </c>
    </row>
    <row r="4">
      <c r="A4" s="18">
        <v>40.0</v>
      </c>
      <c r="B4" s="18">
        <v>4.0</v>
      </c>
      <c r="C4" s="19">
        <v>46113.0</v>
      </c>
      <c r="D4" s="19">
        <v>46203.0</v>
      </c>
      <c r="E4" s="20">
        <v>85.0</v>
      </c>
      <c r="F4" s="20">
        <v>105.0</v>
      </c>
      <c r="G4" s="20">
        <v>2.0</v>
      </c>
    </row>
    <row r="5">
      <c r="A5" s="11">
        <v>41.0</v>
      </c>
      <c r="B5" s="18">
        <v>4.0</v>
      </c>
      <c r="C5" s="19">
        <v>46204.0</v>
      </c>
      <c r="D5" s="19">
        <v>46265.0</v>
      </c>
      <c r="E5" s="11">
        <v>130.0</v>
      </c>
      <c r="F5" s="20">
        <v>105.0</v>
      </c>
      <c r="G5" s="11">
        <v>5.0</v>
      </c>
    </row>
    <row r="6">
      <c r="A6" s="18">
        <v>20.0</v>
      </c>
      <c r="B6" s="18">
        <v>2.0</v>
      </c>
      <c r="C6" s="19">
        <v>46113.0</v>
      </c>
      <c r="D6" s="19">
        <v>46203.0</v>
      </c>
      <c r="E6" s="20">
        <v>130.0</v>
      </c>
      <c r="F6" s="20">
        <v>105.0</v>
      </c>
      <c r="G6" s="20">
        <v>2.0</v>
      </c>
    </row>
    <row r="7">
      <c r="A7" s="11">
        <v>21.0</v>
      </c>
      <c r="B7" s="18">
        <v>2.0</v>
      </c>
      <c r="C7" s="19">
        <v>46204.0</v>
      </c>
      <c r="D7" s="19">
        <v>46265.0</v>
      </c>
      <c r="E7" s="11">
        <v>140.0</v>
      </c>
      <c r="F7" s="20">
        <v>105.0</v>
      </c>
      <c r="G7" s="11">
        <v>5.0</v>
      </c>
    </row>
    <row r="8">
      <c r="A8" s="11">
        <v>0.0</v>
      </c>
      <c r="B8" s="11">
        <v>0.0</v>
      </c>
      <c r="C8" s="19">
        <v>46113.0</v>
      </c>
      <c r="D8" s="19">
        <v>46203.0</v>
      </c>
      <c r="E8" s="11">
        <v>190.0</v>
      </c>
      <c r="F8" s="11">
        <v>120.0</v>
      </c>
      <c r="G8" s="11">
        <v>1.0</v>
      </c>
    </row>
    <row r="9">
      <c r="A9" s="11">
        <v>1.0</v>
      </c>
      <c r="B9" s="11">
        <v>0.0</v>
      </c>
      <c r="C9" s="19">
        <v>46204.0</v>
      </c>
      <c r="D9" s="19">
        <v>46234.0</v>
      </c>
      <c r="E9" s="11">
        <v>230.0</v>
      </c>
      <c r="F9" s="11">
        <v>120.0</v>
      </c>
      <c r="G9" s="11">
        <v>3.0</v>
      </c>
    </row>
    <row r="10">
      <c r="A10" s="11">
        <v>2.0</v>
      </c>
      <c r="B10" s="11">
        <v>0.0</v>
      </c>
      <c r="C10" s="19">
        <v>46235.0</v>
      </c>
      <c r="D10" s="19">
        <v>46265.0</v>
      </c>
      <c r="E10" s="11">
        <v>260.0</v>
      </c>
      <c r="F10" s="11">
        <v>120.0</v>
      </c>
      <c r="G10" s="11">
        <v>3.0</v>
      </c>
    </row>
    <row r="11">
      <c r="A11" s="11">
        <v>3.0</v>
      </c>
      <c r="B11" s="11">
        <v>0.0</v>
      </c>
      <c r="C11" s="19">
        <v>46266.0</v>
      </c>
      <c r="D11" s="19">
        <v>46741.0</v>
      </c>
      <c r="E11" s="11">
        <v>190.0</v>
      </c>
      <c r="F11" s="11">
        <v>120.0</v>
      </c>
      <c r="G11" s="11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5" t="s">
        <v>113</v>
      </c>
      <c r="B1" s="15" t="s">
        <v>114</v>
      </c>
      <c r="C1" s="15" t="s">
        <v>107</v>
      </c>
      <c r="D1" s="15" t="s">
        <v>115</v>
      </c>
      <c r="E1" s="15" t="s">
        <v>116</v>
      </c>
      <c r="F1" s="17" t="s">
        <v>117</v>
      </c>
      <c r="G1" s="16" t="s">
        <v>118</v>
      </c>
      <c r="H1" s="14" t="s">
        <v>119</v>
      </c>
      <c r="I1" s="14" t="s">
        <v>120</v>
      </c>
      <c r="J1" s="14" t="s">
        <v>111</v>
      </c>
      <c r="K1" s="14" t="s">
        <v>121</v>
      </c>
      <c r="L1" s="14" t="s">
        <v>122</v>
      </c>
      <c r="M1" s="15" t="s">
        <v>123</v>
      </c>
      <c r="N1" s="15" t="s">
        <v>124</v>
      </c>
      <c r="O1" s="14" t="s">
        <v>125</v>
      </c>
      <c r="P1" s="15" t="s">
        <v>126</v>
      </c>
      <c r="Q1" s="14" t="s">
        <v>127</v>
      </c>
      <c r="R1" s="21" t="s">
        <v>128</v>
      </c>
      <c r="S1" s="21" t="s">
        <v>129</v>
      </c>
      <c r="T1" s="21" t="s">
        <v>130</v>
      </c>
      <c r="U1" s="21" t="s">
        <v>131</v>
      </c>
      <c r="V1" s="21" t="s">
        <v>132</v>
      </c>
    </row>
    <row r="2">
      <c r="A2" s="8" t="s">
        <v>133</v>
      </c>
      <c r="B2" s="8" t="s">
        <v>134</v>
      </c>
      <c r="C2" s="8">
        <v>2.0</v>
      </c>
      <c r="D2" s="22">
        <v>46215.0</v>
      </c>
      <c r="E2" s="22">
        <v>46222.0</v>
      </c>
      <c r="F2" s="23">
        <v>7.0</v>
      </c>
      <c r="G2" s="22">
        <v>4.0</v>
      </c>
      <c r="H2" s="8" t="s">
        <v>135</v>
      </c>
      <c r="I2" s="23">
        <v>1050.0</v>
      </c>
      <c r="J2" s="23">
        <v>85.0</v>
      </c>
      <c r="K2" s="23">
        <v>141.4</v>
      </c>
      <c r="L2" s="23">
        <v>1276.4</v>
      </c>
      <c r="M2" s="8" t="s">
        <v>136</v>
      </c>
      <c r="N2" s="8" t="s">
        <v>137</v>
      </c>
      <c r="O2" s="8">
        <v>6.0E8</v>
      </c>
      <c r="P2" s="8" t="s">
        <v>138</v>
      </c>
      <c r="Q2" s="8" t="b">
        <v>1</v>
      </c>
      <c r="R2" s="8" t="s">
        <v>139</v>
      </c>
      <c r="S2" s="8" t="s">
        <v>140</v>
      </c>
      <c r="T2" s="8" t="s">
        <v>141</v>
      </c>
      <c r="U2" s="8" t="s">
        <v>142</v>
      </c>
      <c r="V2" s="8" t="s">
        <v>143</v>
      </c>
    </row>
    <row r="3">
      <c r="A3" s="8" t="s">
        <v>144</v>
      </c>
      <c r="B3" s="8" t="s">
        <v>134</v>
      </c>
      <c r="C3" s="8">
        <v>5.0</v>
      </c>
      <c r="D3" s="22">
        <v>46169.0</v>
      </c>
      <c r="E3" s="22">
        <v>46171.0</v>
      </c>
      <c r="F3" s="23">
        <v>2.0</v>
      </c>
      <c r="G3" s="23">
        <v>2.0</v>
      </c>
      <c r="H3" s="8" t="s">
        <v>135</v>
      </c>
      <c r="I3" s="23">
        <v>300.0</v>
      </c>
      <c r="J3" s="23">
        <v>85.0</v>
      </c>
      <c r="K3" s="23">
        <v>15.0</v>
      </c>
      <c r="L3" s="23">
        <v>400.0</v>
      </c>
      <c r="M3" s="8" t="s">
        <v>145</v>
      </c>
      <c r="N3" s="8" t="s">
        <v>146</v>
      </c>
      <c r="O3" s="8">
        <v>6786786.0</v>
      </c>
      <c r="P3" s="8" t="s">
        <v>147</v>
      </c>
      <c r="Q3" s="8" t="b">
        <v>1</v>
      </c>
      <c r="R3" s="8" t="s">
        <v>139</v>
      </c>
      <c r="S3" s="8" t="s">
        <v>140</v>
      </c>
      <c r="T3" s="8" t="s">
        <v>141</v>
      </c>
      <c r="U3" s="24" t="s">
        <v>148</v>
      </c>
      <c r="V3" s="8" t="s">
        <v>149</v>
      </c>
    </row>
    <row r="4">
      <c r="A4" s="8" t="s">
        <v>150</v>
      </c>
      <c r="B4" s="8" t="s">
        <v>134</v>
      </c>
      <c r="C4" s="8">
        <v>5.0</v>
      </c>
      <c r="D4" s="22">
        <v>46176.0</v>
      </c>
      <c r="E4" s="22">
        <v>46184.0</v>
      </c>
      <c r="F4" s="23">
        <v>8.0</v>
      </c>
      <c r="G4" s="23">
        <v>2.0</v>
      </c>
      <c r="H4" s="8" t="s">
        <v>135</v>
      </c>
      <c r="I4" s="23">
        <v>1200.0</v>
      </c>
      <c r="J4" s="23">
        <v>85.0</v>
      </c>
      <c r="K4" s="23">
        <v>60.0</v>
      </c>
      <c r="L4" s="23">
        <v>1345.0</v>
      </c>
      <c r="M4" s="8" t="s">
        <v>151</v>
      </c>
      <c r="N4" s="8" t="s">
        <v>146</v>
      </c>
      <c r="O4" s="8">
        <v>798798.0</v>
      </c>
      <c r="P4" s="8" t="s">
        <v>152</v>
      </c>
      <c r="Q4" s="8" t="b">
        <v>1</v>
      </c>
      <c r="R4" s="8" t="s">
        <v>139</v>
      </c>
      <c r="S4" s="8" t="s">
        <v>140</v>
      </c>
      <c r="T4" s="8" t="s">
        <v>141</v>
      </c>
      <c r="U4" s="24" t="s">
        <v>148</v>
      </c>
      <c r="V4" s="8" t="s">
        <v>149</v>
      </c>
    </row>
    <row r="5">
      <c r="A5" s="8" t="s">
        <v>153</v>
      </c>
      <c r="B5" s="8" t="s">
        <v>134</v>
      </c>
      <c r="C5" s="8">
        <v>5.0</v>
      </c>
      <c r="D5" s="22">
        <v>46169.0</v>
      </c>
      <c r="E5" s="22">
        <v>46172.0</v>
      </c>
      <c r="F5" s="23">
        <v>3.0</v>
      </c>
      <c r="G5" s="23">
        <v>2.0</v>
      </c>
      <c r="H5" s="8" t="s">
        <v>135</v>
      </c>
      <c r="I5" s="23">
        <v>450.0</v>
      </c>
      <c r="J5" s="23">
        <v>85.0</v>
      </c>
      <c r="K5" s="23">
        <v>22.5</v>
      </c>
      <c r="L5" s="23">
        <v>557.5</v>
      </c>
      <c r="M5" s="8" t="s">
        <v>154</v>
      </c>
      <c r="N5" s="8" t="s">
        <v>155</v>
      </c>
      <c r="O5" s="8">
        <v>7897689.0</v>
      </c>
      <c r="P5" s="8" t="s">
        <v>156</v>
      </c>
      <c r="Q5" s="8" t="b">
        <v>1</v>
      </c>
      <c r="R5" s="8" t="s">
        <v>139</v>
      </c>
      <c r="S5" s="8" t="s">
        <v>140</v>
      </c>
      <c r="T5" s="8" t="s">
        <v>141</v>
      </c>
      <c r="U5" s="24" t="s">
        <v>157</v>
      </c>
      <c r="V5" s="8" t="s">
        <v>149</v>
      </c>
    </row>
    <row r="6">
      <c r="A6" s="8" t="s">
        <v>158</v>
      </c>
      <c r="B6" s="8" t="s">
        <v>134</v>
      </c>
      <c r="C6" s="8">
        <v>0.0</v>
      </c>
      <c r="D6" s="22">
        <v>46188.0</v>
      </c>
      <c r="E6" s="22">
        <v>46191.0</v>
      </c>
      <c r="F6" s="23">
        <v>3.0</v>
      </c>
      <c r="G6" s="23">
        <v>4.0</v>
      </c>
      <c r="H6" s="8" t="s">
        <v>135</v>
      </c>
      <c r="I6" s="23">
        <v>570.0</v>
      </c>
      <c r="J6" s="23">
        <v>120.0</v>
      </c>
      <c r="K6" s="23">
        <v>28.5</v>
      </c>
      <c r="L6" s="23">
        <v>718.5</v>
      </c>
      <c r="M6" s="8" t="s">
        <v>159</v>
      </c>
      <c r="N6" s="8" t="s">
        <v>155</v>
      </c>
      <c r="O6" s="8">
        <v>687687.0</v>
      </c>
      <c r="P6" s="8" t="s">
        <v>160</v>
      </c>
      <c r="Q6" s="8" t="b">
        <v>1</v>
      </c>
      <c r="R6" s="8" t="s">
        <v>139</v>
      </c>
      <c r="S6" s="8" t="s">
        <v>140</v>
      </c>
      <c r="T6" s="8" t="s">
        <v>141</v>
      </c>
      <c r="U6" s="24" t="s">
        <v>161</v>
      </c>
      <c r="V6" s="8" t="s">
        <v>162</v>
      </c>
    </row>
    <row r="7">
      <c r="A7" s="8" t="s">
        <v>163</v>
      </c>
      <c r="B7" s="8" t="s">
        <v>134</v>
      </c>
      <c r="C7" s="8">
        <v>4.0</v>
      </c>
      <c r="D7" s="22">
        <v>46169.0</v>
      </c>
      <c r="E7" s="22">
        <v>46172.0</v>
      </c>
      <c r="F7" s="23">
        <v>3.0</v>
      </c>
      <c r="G7" s="23">
        <v>2.0</v>
      </c>
      <c r="H7" s="8" t="s">
        <v>135</v>
      </c>
      <c r="I7" s="23">
        <v>255.0</v>
      </c>
      <c r="J7" s="23">
        <v>105.0</v>
      </c>
      <c r="K7" s="23">
        <v>12.75</v>
      </c>
      <c r="L7" s="23">
        <v>372.75</v>
      </c>
      <c r="M7" s="8" t="s">
        <v>164</v>
      </c>
      <c r="N7" s="8" t="s">
        <v>146</v>
      </c>
      <c r="O7" s="8">
        <v>787889.0</v>
      </c>
      <c r="P7" s="8" t="s">
        <v>165</v>
      </c>
      <c r="Q7" s="8" t="b">
        <v>1</v>
      </c>
      <c r="R7" s="8" t="s">
        <v>139</v>
      </c>
      <c r="S7" s="8" t="s">
        <v>140</v>
      </c>
      <c r="T7" s="8" t="s">
        <v>141</v>
      </c>
      <c r="U7" s="24" t="s">
        <v>166</v>
      </c>
      <c r="V7" s="8" t="s">
        <v>149</v>
      </c>
    </row>
  </sheetData>
  <hyperlinks>
    <hyperlink r:id="rId1" ref="U3"/>
    <hyperlink r:id="rId2" ref="U4"/>
    <hyperlink r:id="rId3" ref="U5"/>
    <hyperlink r:id="rId4" ref="U6"/>
    <hyperlink r:id="rId5" ref="U7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4.0"/>
  </cols>
  <sheetData>
    <row r="1">
      <c r="A1" s="15" t="s">
        <v>167</v>
      </c>
      <c r="B1" s="15" t="s">
        <v>168</v>
      </c>
    </row>
    <row r="2">
      <c r="A2" s="25" t="s">
        <v>169</v>
      </c>
      <c r="B2" s="25" t="s">
        <v>135</v>
      </c>
    </row>
    <row r="3">
      <c r="A3" s="25" t="s">
        <v>170</v>
      </c>
      <c r="B3" s="25" t="s">
        <v>171</v>
      </c>
    </row>
    <row r="4">
      <c r="A4" s="25" t="s">
        <v>172</v>
      </c>
      <c r="B4" s="25">
        <v>2.0</v>
      </c>
    </row>
    <row r="5">
      <c r="A5" s="25" t="s">
        <v>173</v>
      </c>
      <c r="B5" s="26" t="s">
        <v>146</v>
      </c>
    </row>
    <row r="6">
      <c r="A6" s="25" t="s">
        <v>174</v>
      </c>
      <c r="B6" s="25" t="s">
        <v>175</v>
      </c>
    </row>
    <row r="7">
      <c r="A7" s="25" t="s">
        <v>176</v>
      </c>
      <c r="B7" s="25">
        <v>24.0</v>
      </c>
    </row>
    <row r="8">
      <c r="A8" s="25" t="s">
        <v>177</v>
      </c>
      <c r="B8" s="25" t="b">
        <v>1</v>
      </c>
    </row>
    <row r="9">
      <c r="A9" s="25" t="s">
        <v>178</v>
      </c>
      <c r="B9" s="25" t="b">
        <v>0</v>
      </c>
    </row>
    <row r="10">
      <c r="A10" s="25" t="s">
        <v>179</v>
      </c>
      <c r="B10" s="25">
        <v>6.0</v>
      </c>
    </row>
    <row r="11">
      <c r="A11" s="25" t="s">
        <v>180</v>
      </c>
      <c r="B11" s="25" t="s">
        <v>181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182</v>
      </c>
      <c r="B1" s="1" t="s">
        <v>183</v>
      </c>
      <c r="C1" s="1">
        <v>0.0</v>
      </c>
      <c r="D1" s="1">
        <v>2.0</v>
      </c>
      <c r="E1" s="1">
        <v>4.0</v>
      </c>
      <c r="F1" s="1">
        <v>5.0</v>
      </c>
    </row>
    <row r="2" ht="15.75" customHeight="1">
      <c r="A2" s="1">
        <v>1.0</v>
      </c>
      <c r="B2" s="1">
        <v>2026.0</v>
      </c>
      <c r="C2" s="7">
        <f t="shared" ref="C2:C4" si="1">130*0.1*30</f>
        <v>390</v>
      </c>
      <c r="D2" s="7">
        <f t="shared" ref="D2:D4" si="2">0.5*30*40</f>
        <v>600</v>
      </c>
      <c r="E2" s="7">
        <f t="shared" ref="E2:E4" si="3">0.5*30*35</f>
        <v>525</v>
      </c>
      <c r="F2" s="7">
        <f t="shared" ref="F2:F4" si="4">0.5*30*30</f>
        <v>450</v>
      </c>
    </row>
    <row r="3" ht="15.75" customHeight="1">
      <c r="A3" s="1">
        <v>2.0</v>
      </c>
      <c r="B3" s="1">
        <v>2026.0</v>
      </c>
      <c r="C3" s="7">
        <f t="shared" si="1"/>
        <v>390</v>
      </c>
      <c r="D3" s="7">
        <f t="shared" si="2"/>
        <v>600</v>
      </c>
      <c r="E3" s="7">
        <f t="shared" si="3"/>
        <v>525</v>
      </c>
      <c r="F3" s="7">
        <f t="shared" si="4"/>
        <v>450</v>
      </c>
    </row>
    <row r="4" ht="15.75" customHeight="1">
      <c r="A4" s="1">
        <v>3.0</v>
      </c>
      <c r="B4" s="1">
        <v>2026.0</v>
      </c>
      <c r="C4" s="7">
        <f t="shared" si="1"/>
        <v>390</v>
      </c>
      <c r="D4" s="7">
        <f t="shared" si="2"/>
        <v>600</v>
      </c>
      <c r="E4" s="7">
        <f t="shared" si="3"/>
        <v>525</v>
      </c>
      <c r="F4" s="7">
        <f t="shared" si="4"/>
        <v>450</v>
      </c>
    </row>
    <row r="5" ht="15.75" customHeight="1">
      <c r="A5" s="1">
        <v>4.0</v>
      </c>
      <c r="B5" s="1">
        <v>2026.0</v>
      </c>
      <c r="C5" s="7">
        <f>150*0.6*30</f>
        <v>2700</v>
      </c>
      <c r="D5" s="7">
        <f t="shared" ref="D5:D7" si="5">0.5*30*90</f>
        <v>1350</v>
      </c>
      <c r="E5" s="7">
        <f t="shared" ref="E5:E7" si="6">0.5*30*80</f>
        <v>1200</v>
      </c>
      <c r="F5" s="7">
        <f t="shared" ref="F5:F7" si="7">0.5*30*60</f>
        <v>900</v>
      </c>
    </row>
    <row r="6" ht="15.75" customHeight="1">
      <c r="A6" s="1">
        <v>5.0</v>
      </c>
      <c r="B6" s="1">
        <v>2026.0</v>
      </c>
      <c r="C6" s="7">
        <f>160*0.6*30</f>
        <v>2880</v>
      </c>
      <c r="D6" s="7">
        <f t="shared" si="5"/>
        <v>1350</v>
      </c>
      <c r="E6" s="7">
        <f t="shared" si="6"/>
        <v>1200</v>
      </c>
      <c r="F6" s="7">
        <f t="shared" si="7"/>
        <v>900</v>
      </c>
    </row>
    <row r="7" ht="15.75" customHeight="1">
      <c r="A7" s="1">
        <v>6.0</v>
      </c>
      <c r="B7" s="1">
        <v>2026.0</v>
      </c>
      <c r="C7" s="7">
        <f>150*30</f>
        <v>4500</v>
      </c>
      <c r="D7" s="7">
        <f t="shared" si="5"/>
        <v>1350</v>
      </c>
      <c r="E7" s="7">
        <f t="shared" si="6"/>
        <v>1200</v>
      </c>
      <c r="F7" s="7">
        <f t="shared" si="7"/>
        <v>900</v>
      </c>
    </row>
    <row r="8" ht="15.75" customHeight="1">
      <c r="A8" s="1">
        <v>7.0</v>
      </c>
      <c r="B8" s="1">
        <v>2026.0</v>
      </c>
      <c r="C8" s="7">
        <f t="shared" ref="C8:C9" si="8">220*30</f>
        <v>6600</v>
      </c>
      <c r="D8" s="7">
        <f t="shared" ref="D8:D9" si="9">115*31</f>
        <v>3565</v>
      </c>
      <c r="E8" s="7">
        <f t="shared" ref="E8:E9" si="10">105*30</f>
        <v>3150</v>
      </c>
      <c r="F8" s="7">
        <f t="shared" ref="F8:F9" si="11">85*30</f>
        <v>2550</v>
      </c>
    </row>
    <row r="9" ht="15.75" customHeight="1">
      <c r="A9" s="1">
        <v>8.0</v>
      </c>
      <c r="B9" s="1">
        <v>2026.0</v>
      </c>
      <c r="C9" s="7">
        <f t="shared" si="8"/>
        <v>6600</v>
      </c>
      <c r="D9" s="7">
        <f t="shared" si="9"/>
        <v>3565</v>
      </c>
      <c r="E9" s="7">
        <f t="shared" si="10"/>
        <v>3150</v>
      </c>
      <c r="F9" s="7">
        <f t="shared" si="11"/>
        <v>2550</v>
      </c>
    </row>
    <row r="10" ht="15.75" customHeight="1">
      <c r="A10" s="1">
        <v>9.0</v>
      </c>
      <c r="B10" s="1">
        <v>2026.0</v>
      </c>
      <c r="C10" s="7">
        <f>190*0.5*30</f>
        <v>2850</v>
      </c>
      <c r="D10" s="7">
        <f>95*0.8*30</f>
        <v>2280</v>
      </c>
      <c r="E10" s="7">
        <f>85*0.8*30</f>
        <v>2040</v>
      </c>
      <c r="F10" s="7">
        <f>65*0.8*30</f>
        <v>1560</v>
      </c>
    </row>
    <row r="11" ht="15.75" customHeight="1">
      <c r="A11" s="1">
        <v>10.0</v>
      </c>
      <c r="B11" s="1">
        <v>2026.0</v>
      </c>
      <c r="C11" s="7">
        <f t="shared" ref="C11:C12" si="12">150+0.1*30</f>
        <v>153</v>
      </c>
      <c r="D11" s="7">
        <f t="shared" ref="D11:D12" si="13">0.6*30*40</f>
        <v>720</v>
      </c>
      <c r="E11" s="7">
        <f t="shared" ref="E11:E12" si="14">0.6*30*35</f>
        <v>630</v>
      </c>
      <c r="F11" s="7">
        <f t="shared" ref="F11:F12" si="15">0.6*30*30</f>
        <v>540</v>
      </c>
    </row>
    <row r="12" ht="15.75" customHeight="1">
      <c r="A12" s="1">
        <v>11.0</v>
      </c>
      <c r="B12" s="1">
        <v>2026.0</v>
      </c>
      <c r="C12" s="7">
        <f t="shared" si="12"/>
        <v>153</v>
      </c>
      <c r="D12" s="7">
        <f t="shared" si="13"/>
        <v>720</v>
      </c>
      <c r="E12" s="7">
        <f t="shared" si="14"/>
        <v>630</v>
      </c>
      <c r="F12" s="7">
        <f t="shared" si="15"/>
        <v>540</v>
      </c>
    </row>
    <row r="13" ht="15.75" customHeight="1">
      <c r="A13" s="1">
        <v>12.0</v>
      </c>
      <c r="B13" s="1">
        <v>2026.0</v>
      </c>
      <c r="C13" s="7">
        <f>0.1*220*30</f>
        <v>660</v>
      </c>
      <c r="D13" s="7">
        <f>0.5*30*40</f>
        <v>600</v>
      </c>
      <c r="E13" s="7">
        <f>0.5*30*35</f>
        <v>525</v>
      </c>
      <c r="F13" s="7">
        <f>0.5*30*30</f>
        <v>450</v>
      </c>
    </row>
    <row r="14" ht="15.75" customHeight="1"/>
    <row r="15" ht="15.75" customHeight="1">
      <c r="A15" s="1" t="s">
        <v>184</v>
      </c>
      <c r="B15" s="1"/>
      <c r="C15" s="1">
        <f t="shared" ref="C15:F15" si="16">SUM(C2:C13)</f>
        <v>28266</v>
      </c>
      <c r="D15" s="1">
        <f t="shared" si="16"/>
        <v>17300</v>
      </c>
      <c r="E15" s="1">
        <f t="shared" si="16"/>
        <v>15300</v>
      </c>
      <c r="F15" s="1">
        <f t="shared" si="16"/>
        <v>12240</v>
      </c>
      <c r="G15" s="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7" t="s">
        <v>185</v>
      </c>
    </row>
    <row r="2" ht="15.75" customHeight="1"/>
    <row r="3" ht="15.75" customHeight="1">
      <c r="A3" s="7">
        <v>0.0</v>
      </c>
      <c r="B3" s="27" t="s">
        <v>186</v>
      </c>
    </row>
    <row r="4" ht="15.75" customHeight="1">
      <c r="A4" s="7">
        <v>4.0</v>
      </c>
      <c r="B4" s="27" t="s">
        <v>187</v>
      </c>
    </row>
    <row r="5" ht="15.75" customHeight="1">
      <c r="A5" s="7">
        <v>2.0</v>
      </c>
      <c r="B5" s="27" t="s">
        <v>188</v>
      </c>
    </row>
    <row r="6" ht="15.75" customHeight="1">
      <c r="A6" s="7">
        <v>5.0</v>
      </c>
      <c r="B6" s="27" t="s">
        <v>189</v>
      </c>
    </row>
    <row r="7" ht="15.75" customHeight="1">
      <c r="A7" s="7">
        <v>6.0</v>
      </c>
      <c r="B7" s="27" t="s">
        <v>190</v>
      </c>
    </row>
    <row r="8" ht="15.75" customHeight="1">
      <c r="A8" s="7">
        <v>7.0</v>
      </c>
      <c r="B8" s="27" t="s">
        <v>191</v>
      </c>
    </row>
    <row r="9" ht="15.75" customHeight="1">
      <c r="A9" s="7">
        <v>8.0</v>
      </c>
      <c r="B9" s="27" t="s">
        <v>192</v>
      </c>
    </row>
    <row r="10" ht="15.75" customHeight="1"/>
    <row r="11" ht="15.75" customHeight="1">
      <c r="A11" s="7" t="s">
        <v>193</v>
      </c>
      <c r="B11" s="7" t="s">
        <v>18</v>
      </c>
    </row>
    <row r="12" ht="15.75" customHeight="1">
      <c r="B12" s="7" t="s">
        <v>40</v>
      </c>
    </row>
    <row r="13" ht="15.75" customHeight="1">
      <c r="B13" s="7" t="s">
        <v>194</v>
      </c>
    </row>
    <row r="14" ht="15.75" customHeight="1">
      <c r="B14" s="7" t="s">
        <v>56</v>
      </c>
    </row>
    <row r="15" ht="15.75" customHeight="1">
      <c r="B15" s="7" t="s">
        <v>15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>
      <c r="A22" s="7" t="s">
        <v>195</v>
      </c>
    </row>
    <row r="23" ht="15.75" customHeight="1">
      <c r="A23" s="28" t="s">
        <v>196</v>
      </c>
      <c r="B23" s="29" t="s">
        <v>197</v>
      </c>
      <c r="E23" s="7" t="s">
        <v>198</v>
      </c>
      <c r="F23" s="7" t="s">
        <v>199</v>
      </c>
    </row>
    <row r="24" ht="15.75" customHeight="1">
      <c r="A24" s="30">
        <v>1.0</v>
      </c>
      <c r="B24" s="7">
        <v>142.0</v>
      </c>
    </row>
    <row r="25" ht="15.75" customHeight="1">
      <c r="A25" s="30">
        <v>2.0</v>
      </c>
      <c r="B25" s="7">
        <v>180.0</v>
      </c>
      <c r="E25" s="7">
        <v>2.0</v>
      </c>
      <c r="F25" s="7">
        <f>(B25+B32)/B38</f>
        <v>0.2801724138</v>
      </c>
    </row>
    <row r="26" ht="15.75" customHeight="1">
      <c r="A26" s="30">
        <v>3.0</v>
      </c>
      <c r="B26" s="7">
        <v>87.0</v>
      </c>
      <c r="E26" s="7">
        <v>4.0</v>
      </c>
      <c r="F26" s="7">
        <f>B27/B38</f>
        <v>0.1810344828</v>
      </c>
    </row>
    <row r="27" ht="15.75" customHeight="1">
      <c r="A27" s="30">
        <v>4.0</v>
      </c>
      <c r="B27" s="7">
        <v>126.0</v>
      </c>
      <c r="E27" s="7">
        <v>5.0</v>
      </c>
      <c r="F27" s="7">
        <f>B28/B38</f>
        <v>0.1163793103</v>
      </c>
    </row>
    <row r="28" ht="15.75" customHeight="1">
      <c r="A28" s="30">
        <v>5.0</v>
      </c>
      <c r="B28" s="7">
        <v>81.0</v>
      </c>
      <c r="E28" s="7">
        <v>6.0</v>
      </c>
      <c r="F28" s="7">
        <f>B29/B38</f>
        <v>0.1652298851</v>
      </c>
    </row>
    <row r="29" ht="15.75" customHeight="1">
      <c r="A29" s="30">
        <v>6.0</v>
      </c>
      <c r="B29" s="7">
        <v>115.0</v>
      </c>
      <c r="E29" s="7">
        <v>7.0</v>
      </c>
      <c r="F29" s="7">
        <f>B30/B38</f>
        <v>0.257183908</v>
      </c>
    </row>
    <row r="30" ht="15.75" customHeight="1">
      <c r="A30" s="30">
        <v>7.0</v>
      </c>
      <c r="B30" s="7">
        <v>179.0</v>
      </c>
    </row>
    <row r="31" ht="15.75" customHeight="1">
      <c r="A31" s="30">
        <v>8.0</v>
      </c>
      <c r="B31" s="7">
        <v>15.0</v>
      </c>
    </row>
    <row r="32" ht="15.75" customHeight="1">
      <c r="A32" s="30">
        <v>9.0</v>
      </c>
      <c r="B32" s="7">
        <v>15.0</v>
      </c>
    </row>
    <row r="33" ht="15.75" customHeight="1">
      <c r="A33" s="30">
        <v>10.0</v>
      </c>
      <c r="B33" s="7">
        <v>15.0</v>
      </c>
    </row>
    <row r="34" ht="15.75" customHeight="1">
      <c r="A34" s="30">
        <v>11.0</v>
      </c>
      <c r="B34" s="7">
        <v>15.0</v>
      </c>
    </row>
    <row r="35" ht="15.75" customHeight="1">
      <c r="A35" s="30">
        <v>12.0</v>
      </c>
      <c r="B35" s="7">
        <v>15.0</v>
      </c>
    </row>
    <row r="36" ht="15.75" customHeight="1">
      <c r="A36" s="30">
        <v>13.0</v>
      </c>
      <c r="B36" s="7">
        <v>15.0</v>
      </c>
    </row>
    <row r="37" ht="15.75" customHeight="1"/>
    <row r="38" ht="15.75" customHeight="1">
      <c r="A38" s="7" t="s">
        <v>200</v>
      </c>
      <c r="B38" s="7">
        <f>B25+B27+B28+B29+B30+B31</f>
        <v>696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1.33"/>
    <col customWidth="1" min="3" max="3" width="27.0"/>
    <col customWidth="1" min="4" max="4" width="22.33"/>
    <col customWidth="1" min="5" max="26" width="10.56"/>
  </cols>
  <sheetData>
    <row r="1" ht="15.75" customHeight="1">
      <c r="A1" s="1" t="s">
        <v>1</v>
      </c>
      <c r="B1" s="1" t="s">
        <v>201</v>
      </c>
      <c r="C1" s="1" t="s">
        <v>202</v>
      </c>
      <c r="D1" s="21" t="s">
        <v>203</v>
      </c>
    </row>
    <row r="2" ht="15.75" customHeight="1">
      <c r="A2" s="7">
        <v>0.0</v>
      </c>
      <c r="B2" s="7" t="s">
        <v>204</v>
      </c>
      <c r="C2" s="27" t="s">
        <v>186</v>
      </c>
      <c r="D2" s="11" t="s">
        <v>205</v>
      </c>
    </row>
    <row r="3" ht="15.75" customHeight="1">
      <c r="A3" s="7">
        <v>4.0</v>
      </c>
      <c r="B3" s="7" t="s">
        <v>206</v>
      </c>
      <c r="C3" s="27" t="s">
        <v>187</v>
      </c>
      <c r="D3" s="11" t="s">
        <v>207</v>
      </c>
    </row>
    <row r="4" ht="15.75" customHeight="1">
      <c r="A4" s="7">
        <v>2.0</v>
      </c>
      <c r="B4" s="7" t="s">
        <v>208</v>
      </c>
      <c r="C4" s="7" t="s">
        <v>209</v>
      </c>
      <c r="D4" s="11" t="s">
        <v>207</v>
      </c>
    </row>
    <row r="5" ht="15.75" customHeight="1">
      <c r="A5" s="7">
        <v>5.0</v>
      </c>
      <c r="B5" s="7" t="s">
        <v>210</v>
      </c>
      <c r="C5" s="27" t="s">
        <v>188</v>
      </c>
      <c r="D5" s="11" t="s">
        <v>207</v>
      </c>
    </row>
    <row r="6" ht="15.75" customHeight="1">
      <c r="A6" s="7">
        <v>6.0</v>
      </c>
      <c r="B6" s="7" t="s">
        <v>211</v>
      </c>
      <c r="C6" s="7" t="s">
        <v>211</v>
      </c>
      <c r="D6" s="11" t="s">
        <v>212</v>
      </c>
    </row>
    <row r="7" ht="15.75" customHeight="1">
      <c r="A7" s="7">
        <v>7.0</v>
      </c>
      <c r="B7" s="7" t="s">
        <v>213</v>
      </c>
      <c r="C7" s="27" t="s">
        <v>191</v>
      </c>
      <c r="D7" s="11" t="s">
        <v>207</v>
      </c>
    </row>
    <row r="8" ht="15.75" customHeight="1">
      <c r="A8" s="7">
        <v>8.0</v>
      </c>
      <c r="B8" s="7" t="s">
        <v>214</v>
      </c>
      <c r="C8" s="27" t="s">
        <v>192</v>
      </c>
      <c r="D8" s="11" t="s">
        <v>205</v>
      </c>
    </row>
    <row r="9" ht="15.75" customHeight="1">
      <c r="A9" s="11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3.56"/>
    <col customWidth="1" min="6" max="6" width="29.22"/>
  </cols>
  <sheetData>
    <row r="1">
      <c r="A1" s="15" t="s">
        <v>215</v>
      </c>
      <c r="B1" s="15" t="s">
        <v>216</v>
      </c>
      <c r="C1" s="15" t="s">
        <v>217</v>
      </c>
      <c r="D1" s="15" t="s">
        <v>218</v>
      </c>
      <c r="E1" s="15" t="s">
        <v>219</v>
      </c>
      <c r="F1" s="31" t="s">
        <v>220</v>
      </c>
      <c r="G1" s="15" t="s">
        <v>221</v>
      </c>
      <c r="H1" s="15" t="s">
        <v>222</v>
      </c>
    </row>
    <row r="2">
      <c r="A2" s="25" t="b">
        <v>1</v>
      </c>
      <c r="B2" s="32" t="s">
        <v>223</v>
      </c>
      <c r="C2" s="18" t="s">
        <v>206</v>
      </c>
      <c r="D2" s="25" t="s">
        <v>224</v>
      </c>
      <c r="E2" s="25" t="s">
        <v>225</v>
      </c>
      <c r="F2" s="33" t="s">
        <v>226</v>
      </c>
      <c r="G2" s="25" t="s">
        <v>207</v>
      </c>
      <c r="H2" s="34"/>
    </row>
    <row r="3">
      <c r="A3" s="25" t="b">
        <v>1</v>
      </c>
      <c r="B3" s="32" t="s">
        <v>227</v>
      </c>
      <c r="C3" s="35" t="s">
        <v>228</v>
      </c>
      <c r="D3" s="25" t="s">
        <v>229</v>
      </c>
      <c r="E3" s="25" t="s">
        <v>225</v>
      </c>
      <c r="F3" s="33" t="s">
        <v>230</v>
      </c>
      <c r="G3" s="25"/>
    </row>
    <row r="4">
      <c r="A4" s="25" t="b">
        <v>1</v>
      </c>
      <c r="B4" s="36" t="s">
        <v>231</v>
      </c>
      <c r="C4" s="11" t="s">
        <v>232</v>
      </c>
      <c r="D4" s="25" t="s">
        <v>229</v>
      </c>
      <c r="E4" s="25" t="s">
        <v>225</v>
      </c>
      <c r="F4" s="37" t="s">
        <v>233</v>
      </c>
    </row>
    <row r="5">
      <c r="A5" s="11" t="b">
        <v>1</v>
      </c>
      <c r="B5" s="36" t="s">
        <v>234</v>
      </c>
      <c r="C5" s="11" t="s">
        <v>208</v>
      </c>
      <c r="D5" s="25" t="s">
        <v>224</v>
      </c>
      <c r="E5" s="25" t="s">
        <v>225</v>
      </c>
      <c r="F5" s="37" t="s">
        <v>235</v>
      </c>
    </row>
    <row r="6">
      <c r="A6" s="11" t="b">
        <v>1</v>
      </c>
      <c r="B6" s="36" t="s">
        <v>236</v>
      </c>
      <c r="C6" s="11" t="s">
        <v>210</v>
      </c>
      <c r="D6" s="25" t="s">
        <v>224</v>
      </c>
      <c r="E6" s="25" t="s">
        <v>225</v>
      </c>
      <c r="F6" s="37" t="s">
        <v>237</v>
      </c>
    </row>
    <row r="7">
      <c r="A7" s="11" t="b">
        <v>1</v>
      </c>
      <c r="B7" s="11" t="s">
        <v>238</v>
      </c>
      <c r="C7" s="11" t="s">
        <v>239</v>
      </c>
      <c r="D7" s="25" t="s">
        <v>229</v>
      </c>
      <c r="E7" s="25" t="s">
        <v>225</v>
      </c>
      <c r="F7" s="37" t="s">
        <v>240</v>
      </c>
    </row>
    <row r="8">
      <c r="A8" s="11" t="b">
        <v>1</v>
      </c>
      <c r="B8" s="11" t="s">
        <v>241</v>
      </c>
      <c r="C8" s="11" t="s">
        <v>242</v>
      </c>
      <c r="D8" s="25" t="s">
        <v>229</v>
      </c>
      <c r="E8" s="25" t="s">
        <v>225</v>
      </c>
      <c r="F8" s="37" t="s">
        <v>243</v>
      </c>
    </row>
    <row r="9">
      <c r="F9" s="38"/>
    </row>
    <row r="10">
      <c r="F10" s="38"/>
    </row>
    <row r="11">
      <c r="F11" s="38"/>
    </row>
    <row r="12">
      <c r="F12" s="38"/>
    </row>
    <row r="13">
      <c r="F13" s="38"/>
    </row>
    <row r="14">
      <c r="F14" s="38"/>
    </row>
    <row r="15">
      <c r="F15" s="38"/>
    </row>
    <row r="16">
      <c r="F16" s="38"/>
    </row>
    <row r="17">
      <c r="F17" s="38"/>
    </row>
    <row r="18">
      <c r="F18" s="38"/>
    </row>
    <row r="19">
      <c r="F19" s="38"/>
    </row>
    <row r="20">
      <c r="F20" s="38"/>
    </row>
    <row r="21">
      <c r="F21" s="38"/>
    </row>
    <row r="22">
      <c r="F22" s="38"/>
    </row>
    <row r="23">
      <c r="F23" s="38"/>
    </row>
    <row r="24">
      <c r="F24" s="38"/>
    </row>
    <row r="25">
      <c r="F25" s="38"/>
    </row>
    <row r="26">
      <c r="F26" s="38"/>
    </row>
    <row r="27">
      <c r="F27" s="38"/>
    </row>
    <row r="28">
      <c r="F28" s="38"/>
    </row>
    <row r="29">
      <c r="F29" s="38"/>
    </row>
    <row r="30">
      <c r="F30" s="38"/>
    </row>
    <row r="31">
      <c r="F31" s="38"/>
    </row>
    <row r="32">
      <c r="F32" s="38"/>
    </row>
    <row r="33">
      <c r="F33" s="38"/>
    </row>
    <row r="34">
      <c r="F34" s="38"/>
    </row>
    <row r="35">
      <c r="F35" s="38"/>
    </row>
    <row r="36">
      <c r="F36" s="38"/>
    </row>
    <row r="37">
      <c r="F37" s="38"/>
    </row>
    <row r="38">
      <c r="F38" s="38"/>
    </row>
    <row r="39">
      <c r="F39" s="38"/>
    </row>
    <row r="40">
      <c r="F40" s="38"/>
    </row>
    <row r="41">
      <c r="F41" s="38"/>
    </row>
    <row r="42">
      <c r="F42" s="38"/>
    </row>
    <row r="43">
      <c r="F43" s="38"/>
    </row>
    <row r="44">
      <c r="F44" s="38"/>
    </row>
    <row r="45">
      <c r="F45" s="38"/>
    </row>
    <row r="46">
      <c r="F46" s="38"/>
    </row>
    <row r="47">
      <c r="F47" s="38"/>
    </row>
    <row r="48">
      <c r="F48" s="38"/>
    </row>
    <row r="49">
      <c r="F49" s="38"/>
    </row>
    <row r="50">
      <c r="F50" s="38"/>
    </row>
    <row r="51">
      <c r="F51" s="38"/>
    </row>
    <row r="52">
      <c r="F52" s="38"/>
    </row>
    <row r="53">
      <c r="F53" s="38"/>
    </row>
    <row r="54">
      <c r="F54" s="38"/>
    </row>
    <row r="55">
      <c r="F55" s="38"/>
    </row>
    <row r="56">
      <c r="F56" s="38"/>
    </row>
    <row r="57">
      <c r="F57" s="38"/>
    </row>
    <row r="58">
      <c r="F58" s="38"/>
    </row>
    <row r="59">
      <c r="F59" s="38"/>
    </row>
    <row r="60">
      <c r="F60" s="38"/>
    </row>
    <row r="61">
      <c r="F61" s="38"/>
    </row>
    <row r="62">
      <c r="F62" s="38"/>
    </row>
    <row r="63">
      <c r="F63" s="38"/>
    </row>
    <row r="64">
      <c r="F64" s="38"/>
    </row>
    <row r="65">
      <c r="F65" s="38"/>
    </row>
    <row r="66">
      <c r="F66" s="38"/>
    </row>
    <row r="67">
      <c r="F67" s="38"/>
    </row>
    <row r="68">
      <c r="F68" s="38"/>
    </row>
    <row r="69">
      <c r="F69" s="38"/>
    </row>
    <row r="70">
      <c r="F70" s="38"/>
    </row>
    <row r="71">
      <c r="F71" s="38"/>
    </row>
    <row r="72">
      <c r="F72" s="38"/>
    </row>
    <row r="73">
      <c r="F73" s="38"/>
    </row>
    <row r="74">
      <c r="F74" s="38"/>
    </row>
    <row r="75">
      <c r="F75" s="38"/>
    </row>
    <row r="76">
      <c r="F76" s="38"/>
    </row>
    <row r="77">
      <c r="F77" s="38"/>
    </row>
    <row r="78">
      <c r="F78" s="38"/>
    </row>
    <row r="79">
      <c r="F79" s="38"/>
    </row>
    <row r="80">
      <c r="F80" s="38"/>
    </row>
    <row r="81">
      <c r="F81" s="38"/>
    </row>
    <row r="82">
      <c r="F82" s="38"/>
    </row>
    <row r="83">
      <c r="F83" s="38"/>
    </row>
    <row r="84">
      <c r="F84" s="38"/>
    </row>
    <row r="85">
      <c r="F85" s="38"/>
    </row>
    <row r="86">
      <c r="F86" s="38"/>
    </row>
    <row r="87">
      <c r="F87" s="38"/>
    </row>
    <row r="88">
      <c r="F88" s="38"/>
    </row>
    <row r="89">
      <c r="F89" s="38"/>
    </row>
    <row r="90">
      <c r="F90" s="38"/>
    </row>
    <row r="91">
      <c r="F91" s="38"/>
    </row>
    <row r="92">
      <c r="F92" s="38"/>
    </row>
    <row r="93">
      <c r="F93" s="38"/>
    </row>
    <row r="94">
      <c r="F94" s="38"/>
    </row>
    <row r="95">
      <c r="F95" s="38"/>
    </row>
    <row r="96">
      <c r="F96" s="38"/>
    </row>
    <row r="97">
      <c r="F97" s="38"/>
    </row>
    <row r="98">
      <c r="F98" s="38"/>
    </row>
    <row r="99">
      <c r="F99" s="38"/>
    </row>
    <row r="100">
      <c r="F100" s="38"/>
    </row>
    <row r="101">
      <c r="F101" s="38"/>
    </row>
    <row r="102">
      <c r="F102" s="38"/>
    </row>
    <row r="103">
      <c r="F103" s="38"/>
    </row>
    <row r="104">
      <c r="F104" s="38"/>
    </row>
    <row r="105">
      <c r="F105" s="38"/>
    </row>
    <row r="106">
      <c r="F106" s="38"/>
    </row>
    <row r="107">
      <c r="F107" s="38"/>
    </row>
    <row r="108">
      <c r="F108" s="38"/>
    </row>
    <row r="109">
      <c r="F109" s="38"/>
    </row>
    <row r="110">
      <c r="F110" s="38"/>
    </row>
    <row r="111">
      <c r="F111" s="38"/>
    </row>
    <row r="112">
      <c r="F112" s="38"/>
    </row>
    <row r="113">
      <c r="F113" s="38"/>
    </row>
    <row r="114">
      <c r="F114" s="38"/>
    </row>
    <row r="115">
      <c r="F115" s="38"/>
    </row>
    <row r="116">
      <c r="F116" s="38"/>
    </row>
    <row r="117">
      <c r="F117" s="38"/>
    </row>
    <row r="118">
      <c r="F118" s="38"/>
    </row>
    <row r="119">
      <c r="F119" s="38"/>
    </row>
    <row r="120">
      <c r="F120" s="38"/>
    </row>
    <row r="121">
      <c r="F121" s="38"/>
    </row>
    <row r="122">
      <c r="F122" s="38"/>
    </row>
    <row r="123">
      <c r="F123" s="38"/>
    </row>
    <row r="124">
      <c r="F124" s="38"/>
    </row>
    <row r="125">
      <c r="F125" s="38"/>
    </row>
    <row r="126">
      <c r="F126" s="38"/>
    </row>
    <row r="127">
      <c r="F127" s="38"/>
    </row>
    <row r="128">
      <c r="F128" s="38"/>
    </row>
    <row r="129">
      <c r="F129" s="38"/>
    </row>
    <row r="130">
      <c r="F130" s="38"/>
    </row>
    <row r="131">
      <c r="F131" s="38"/>
    </row>
    <row r="132">
      <c r="F132" s="38"/>
    </row>
    <row r="133">
      <c r="F133" s="38"/>
    </row>
    <row r="134">
      <c r="F134" s="38"/>
    </row>
    <row r="135">
      <c r="F135" s="38"/>
    </row>
    <row r="136">
      <c r="F136" s="38"/>
    </row>
    <row r="137">
      <c r="F137" s="38"/>
    </row>
    <row r="138">
      <c r="F138" s="38"/>
    </row>
    <row r="139">
      <c r="F139" s="38"/>
    </row>
    <row r="140">
      <c r="F140" s="38"/>
    </row>
    <row r="141">
      <c r="F141" s="38"/>
    </row>
    <row r="142">
      <c r="F142" s="38"/>
    </row>
    <row r="143">
      <c r="F143" s="38"/>
    </row>
    <row r="144">
      <c r="F144" s="38"/>
    </row>
    <row r="145">
      <c r="F145" s="38"/>
    </row>
    <row r="146">
      <c r="F146" s="38"/>
    </row>
    <row r="147">
      <c r="F147" s="38"/>
    </row>
    <row r="148">
      <c r="F148" s="38"/>
    </row>
    <row r="149">
      <c r="F149" s="38"/>
    </row>
    <row r="150">
      <c r="F150" s="38"/>
    </row>
    <row r="151">
      <c r="F151" s="38"/>
    </row>
    <row r="152">
      <c r="F152" s="38"/>
    </row>
    <row r="153">
      <c r="F153" s="38"/>
    </row>
    <row r="154">
      <c r="F154" s="38"/>
    </row>
    <row r="155">
      <c r="F155" s="38"/>
    </row>
    <row r="156">
      <c r="F156" s="38"/>
    </row>
    <row r="157">
      <c r="F157" s="38"/>
    </row>
    <row r="158">
      <c r="F158" s="38"/>
    </row>
    <row r="159">
      <c r="F159" s="38"/>
    </row>
    <row r="160">
      <c r="F160" s="38"/>
    </row>
    <row r="161">
      <c r="F161" s="38"/>
    </row>
    <row r="162">
      <c r="F162" s="38"/>
    </row>
    <row r="163">
      <c r="F163" s="38"/>
    </row>
    <row r="164">
      <c r="F164" s="38"/>
    </row>
    <row r="165">
      <c r="F165" s="38"/>
    </row>
    <row r="166">
      <c r="F166" s="38"/>
    </row>
    <row r="167">
      <c r="F167" s="38"/>
    </row>
    <row r="168">
      <c r="F168" s="38"/>
    </row>
    <row r="169">
      <c r="F169" s="38"/>
    </row>
    <row r="170">
      <c r="F170" s="38"/>
    </row>
    <row r="171">
      <c r="F171" s="38"/>
    </row>
    <row r="172">
      <c r="F172" s="38"/>
    </row>
    <row r="173">
      <c r="F173" s="38"/>
    </row>
    <row r="174">
      <c r="F174" s="38"/>
    </row>
    <row r="175">
      <c r="F175" s="38"/>
    </row>
    <row r="176">
      <c r="F176" s="38"/>
    </row>
    <row r="177">
      <c r="F177" s="38"/>
    </row>
    <row r="178">
      <c r="F178" s="38"/>
    </row>
    <row r="179">
      <c r="F179" s="38"/>
    </row>
    <row r="180">
      <c r="F180" s="38"/>
    </row>
    <row r="181">
      <c r="F181" s="38"/>
    </row>
    <row r="182">
      <c r="F182" s="38"/>
    </row>
    <row r="183">
      <c r="F183" s="38"/>
    </row>
    <row r="184">
      <c r="F184" s="38"/>
    </row>
    <row r="185">
      <c r="F185" s="38"/>
    </row>
    <row r="186">
      <c r="F186" s="38"/>
    </row>
    <row r="187">
      <c r="F187" s="38"/>
    </row>
    <row r="188">
      <c r="F188" s="38"/>
    </row>
    <row r="189">
      <c r="F189" s="38"/>
    </row>
    <row r="190">
      <c r="F190" s="38"/>
    </row>
    <row r="191">
      <c r="F191" s="38"/>
    </row>
    <row r="192">
      <c r="F192" s="38"/>
    </row>
    <row r="193">
      <c r="F193" s="38"/>
    </row>
    <row r="194">
      <c r="F194" s="38"/>
    </row>
    <row r="195">
      <c r="F195" s="38"/>
    </row>
    <row r="196">
      <c r="F196" s="38"/>
    </row>
    <row r="197">
      <c r="F197" s="38"/>
    </row>
    <row r="198">
      <c r="F198" s="38"/>
    </row>
    <row r="199">
      <c r="F199" s="38"/>
    </row>
    <row r="200">
      <c r="F200" s="38"/>
    </row>
    <row r="201">
      <c r="F201" s="38"/>
    </row>
    <row r="202">
      <c r="F202" s="38"/>
    </row>
    <row r="203">
      <c r="F203" s="38"/>
    </row>
    <row r="204">
      <c r="F204" s="38"/>
    </row>
    <row r="205">
      <c r="F205" s="38"/>
    </row>
    <row r="206">
      <c r="F206" s="38"/>
    </row>
    <row r="207">
      <c r="F207" s="38"/>
    </row>
    <row r="208">
      <c r="F208" s="38"/>
    </row>
    <row r="209">
      <c r="F209" s="38"/>
    </row>
    <row r="210">
      <c r="F210" s="38"/>
    </row>
    <row r="211">
      <c r="F211" s="38"/>
    </row>
    <row r="212">
      <c r="F212" s="38"/>
    </row>
    <row r="213">
      <c r="F213" s="38"/>
    </row>
    <row r="214">
      <c r="F214" s="38"/>
    </row>
    <row r="215">
      <c r="F215" s="38"/>
    </row>
    <row r="216">
      <c r="F216" s="38"/>
    </row>
    <row r="217">
      <c r="F217" s="38"/>
    </row>
    <row r="218">
      <c r="F218" s="38"/>
    </row>
    <row r="219">
      <c r="F219" s="38"/>
    </row>
    <row r="220">
      <c r="F220" s="38"/>
    </row>
    <row r="221">
      <c r="F221" s="38"/>
    </row>
    <row r="222">
      <c r="F222" s="38"/>
    </row>
    <row r="223">
      <c r="F223" s="38"/>
    </row>
    <row r="224">
      <c r="F224" s="38"/>
    </row>
    <row r="225">
      <c r="F225" s="38"/>
    </row>
    <row r="226">
      <c r="F226" s="38"/>
    </row>
    <row r="227">
      <c r="F227" s="38"/>
    </row>
    <row r="228">
      <c r="F228" s="38"/>
    </row>
    <row r="229">
      <c r="F229" s="38"/>
    </row>
    <row r="230">
      <c r="F230" s="38"/>
    </row>
    <row r="231">
      <c r="F231" s="38"/>
    </row>
    <row r="232">
      <c r="F232" s="38"/>
    </row>
    <row r="233">
      <c r="F233" s="38"/>
    </row>
    <row r="234">
      <c r="F234" s="38"/>
    </row>
    <row r="235">
      <c r="F235" s="38"/>
    </row>
    <row r="236">
      <c r="F236" s="38"/>
    </row>
    <row r="237">
      <c r="F237" s="38"/>
    </row>
    <row r="238">
      <c r="F238" s="38"/>
    </row>
    <row r="239">
      <c r="F239" s="38"/>
    </row>
    <row r="240">
      <c r="F240" s="38"/>
    </row>
    <row r="241">
      <c r="F241" s="38"/>
    </row>
    <row r="242">
      <c r="F242" s="38"/>
    </row>
    <row r="243">
      <c r="F243" s="38"/>
    </row>
    <row r="244">
      <c r="F244" s="38"/>
    </row>
    <row r="245">
      <c r="F245" s="38"/>
    </row>
    <row r="246">
      <c r="F246" s="38"/>
    </row>
    <row r="247">
      <c r="F247" s="38"/>
    </row>
    <row r="248">
      <c r="F248" s="38"/>
    </row>
    <row r="249">
      <c r="F249" s="38"/>
    </row>
    <row r="250">
      <c r="F250" s="38"/>
    </row>
    <row r="251">
      <c r="F251" s="38"/>
    </row>
    <row r="252">
      <c r="F252" s="38"/>
    </row>
    <row r="253">
      <c r="F253" s="38"/>
    </row>
    <row r="254">
      <c r="F254" s="38"/>
    </row>
    <row r="255">
      <c r="F255" s="38"/>
    </row>
    <row r="256">
      <c r="F256" s="38"/>
    </row>
    <row r="257">
      <c r="F257" s="38"/>
    </row>
    <row r="258">
      <c r="F258" s="38"/>
    </row>
    <row r="259">
      <c r="F259" s="38"/>
    </row>
    <row r="260">
      <c r="F260" s="38"/>
    </row>
    <row r="261">
      <c r="F261" s="38"/>
    </row>
    <row r="262">
      <c r="F262" s="38"/>
    </row>
    <row r="263">
      <c r="F263" s="38"/>
    </row>
    <row r="264">
      <c r="F264" s="38"/>
    </row>
    <row r="265">
      <c r="F265" s="38"/>
    </row>
    <row r="266">
      <c r="F266" s="38"/>
    </row>
    <row r="267">
      <c r="F267" s="38"/>
    </row>
    <row r="268">
      <c r="F268" s="38"/>
    </row>
    <row r="269">
      <c r="F269" s="38"/>
    </row>
    <row r="270">
      <c r="F270" s="38"/>
    </row>
    <row r="271">
      <c r="F271" s="38"/>
    </row>
    <row r="272">
      <c r="F272" s="38"/>
    </row>
    <row r="273">
      <c r="F273" s="38"/>
    </row>
    <row r="274">
      <c r="F274" s="38"/>
    </row>
    <row r="275">
      <c r="F275" s="38"/>
    </row>
    <row r="276">
      <c r="F276" s="38"/>
    </row>
    <row r="277">
      <c r="F277" s="38"/>
    </row>
    <row r="278">
      <c r="F278" s="38"/>
    </row>
    <row r="279">
      <c r="F279" s="38"/>
    </row>
    <row r="280">
      <c r="F280" s="38"/>
    </row>
    <row r="281">
      <c r="F281" s="38"/>
    </row>
    <row r="282">
      <c r="F282" s="38"/>
    </row>
    <row r="283">
      <c r="F283" s="38"/>
    </row>
    <row r="284">
      <c r="F284" s="38"/>
    </row>
    <row r="285">
      <c r="F285" s="38"/>
    </row>
    <row r="286">
      <c r="F286" s="38"/>
    </row>
    <row r="287">
      <c r="F287" s="38"/>
    </row>
    <row r="288">
      <c r="F288" s="38"/>
    </row>
    <row r="289">
      <c r="F289" s="38"/>
    </row>
    <row r="290">
      <c r="F290" s="38"/>
    </row>
    <row r="291">
      <c r="F291" s="38"/>
    </row>
    <row r="292">
      <c r="F292" s="38"/>
    </row>
    <row r="293">
      <c r="F293" s="38"/>
    </row>
    <row r="294">
      <c r="F294" s="38"/>
    </row>
    <row r="295">
      <c r="F295" s="38"/>
    </row>
    <row r="296">
      <c r="F296" s="38"/>
    </row>
    <row r="297">
      <c r="F297" s="38"/>
    </row>
    <row r="298">
      <c r="F298" s="38"/>
    </row>
    <row r="299">
      <c r="F299" s="38"/>
    </row>
    <row r="300">
      <c r="F300" s="38"/>
    </row>
    <row r="301">
      <c r="F301" s="38"/>
    </row>
    <row r="302">
      <c r="F302" s="38"/>
    </row>
    <row r="303">
      <c r="F303" s="38"/>
    </row>
    <row r="304">
      <c r="F304" s="38"/>
    </row>
    <row r="305">
      <c r="F305" s="38"/>
    </row>
    <row r="306">
      <c r="F306" s="38"/>
    </row>
    <row r="307">
      <c r="F307" s="38"/>
    </row>
    <row r="308">
      <c r="F308" s="38"/>
    </row>
    <row r="309">
      <c r="F309" s="38"/>
    </row>
    <row r="310">
      <c r="F310" s="38"/>
    </row>
    <row r="311">
      <c r="F311" s="38"/>
    </row>
    <row r="312">
      <c r="F312" s="38"/>
    </row>
    <row r="313">
      <c r="F313" s="38"/>
    </row>
    <row r="314">
      <c r="F314" s="38"/>
    </row>
    <row r="315">
      <c r="F315" s="38"/>
    </row>
    <row r="316">
      <c r="F316" s="38"/>
    </row>
    <row r="317">
      <c r="F317" s="38"/>
    </row>
    <row r="318">
      <c r="F318" s="38"/>
    </row>
    <row r="319">
      <c r="F319" s="38"/>
    </row>
    <row r="320">
      <c r="F320" s="38"/>
    </row>
    <row r="321">
      <c r="F321" s="38"/>
    </row>
    <row r="322">
      <c r="F322" s="38"/>
    </row>
    <row r="323">
      <c r="F323" s="38"/>
    </row>
    <row r="324">
      <c r="F324" s="38"/>
    </row>
    <row r="325">
      <c r="F325" s="38"/>
    </row>
    <row r="326">
      <c r="F326" s="38"/>
    </row>
    <row r="327">
      <c r="F327" s="38"/>
    </row>
    <row r="328">
      <c r="F328" s="38"/>
    </row>
    <row r="329">
      <c r="F329" s="38"/>
    </row>
    <row r="330">
      <c r="F330" s="38"/>
    </row>
    <row r="331">
      <c r="F331" s="38"/>
    </row>
    <row r="332">
      <c r="F332" s="38"/>
    </row>
    <row r="333">
      <c r="F333" s="38"/>
    </row>
    <row r="334">
      <c r="F334" s="38"/>
    </row>
    <row r="335">
      <c r="F335" s="38"/>
    </row>
    <row r="336">
      <c r="F336" s="38"/>
    </row>
    <row r="337">
      <c r="F337" s="38"/>
    </row>
    <row r="338">
      <c r="F338" s="38"/>
    </row>
    <row r="339">
      <c r="F339" s="38"/>
    </row>
    <row r="340">
      <c r="F340" s="38"/>
    </row>
    <row r="341">
      <c r="F341" s="38"/>
    </row>
    <row r="342">
      <c r="F342" s="38"/>
    </row>
    <row r="343">
      <c r="F343" s="38"/>
    </row>
    <row r="344">
      <c r="F344" s="38"/>
    </row>
    <row r="345">
      <c r="F345" s="38"/>
    </row>
    <row r="346">
      <c r="F346" s="38"/>
    </row>
    <row r="347">
      <c r="F347" s="38"/>
    </row>
    <row r="348">
      <c r="F348" s="38"/>
    </row>
    <row r="349">
      <c r="F349" s="38"/>
    </row>
    <row r="350">
      <c r="F350" s="38"/>
    </row>
    <row r="351">
      <c r="F351" s="38"/>
    </row>
    <row r="352">
      <c r="F352" s="38"/>
    </row>
    <row r="353">
      <c r="F353" s="38"/>
    </row>
    <row r="354">
      <c r="F354" s="38"/>
    </row>
    <row r="355">
      <c r="F355" s="38"/>
    </row>
    <row r="356">
      <c r="F356" s="38"/>
    </row>
    <row r="357">
      <c r="F357" s="38"/>
    </row>
    <row r="358">
      <c r="F358" s="38"/>
    </row>
    <row r="359">
      <c r="F359" s="38"/>
    </row>
    <row r="360">
      <c r="F360" s="38"/>
    </row>
    <row r="361">
      <c r="F361" s="38"/>
    </row>
    <row r="362">
      <c r="F362" s="38"/>
    </row>
    <row r="363">
      <c r="F363" s="38"/>
    </row>
    <row r="364">
      <c r="F364" s="38"/>
    </row>
    <row r="365">
      <c r="F365" s="38"/>
    </row>
    <row r="366">
      <c r="F366" s="38"/>
    </row>
    <row r="367">
      <c r="F367" s="38"/>
    </row>
    <row r="368">
      <c r="F368" s="38"/>
    </row>
    <row r="369">
      <c r="F369" s="38"/>
    </row>
    <row r="370">
      <c r="F370" s="38"/>
    </row>
    <row r="371">
      <c r="F371" s="38"/>
    </row>
    <row r="372">
      <c r="F372" s="38"/>
    </row>
    <row r="373">
      <c r="F373" s="38"/>
    </row>
    <row r="374">
      <c r="F374" s="38"/>
    </row>
    <row r="375">
      <c r="F375" s="38"/>
    </row>
    <row r="376">
      <c r="F376" s="38"/>
    </row>
    <row r="377">
      <c r="F377" s="38"/>
    </row>
    <row r="378">
      <c r="F378" s="38"/>
    </row>
    <row r="379">
      <c r="F379" s="38"/>
    </row>
    <row r="380">
      <c r="F380" s="38"/>
    </row>
    <row r="381">
      <c r="F381" s="38"/>
    </row>
    <row r="382">
      <c r="F382" s="38"/>
    </row>
    <row r="383">
      <c r="F383" s="38"/>
    </row>
    <row r="384">
      <c r="F384" s="38"/>
    </row>
    <row r="385">
      <c r="F385" s="38"/>
    </row>
    <row r="386">
      <c r="F386" s="38"/>
    </row>
    <row r="387">
      <c r="F387" s="38"/>
    </row>
    <row r="388">
      <c r="F388" s="38"/>
    </row>
    <row r="389">
      <c r="F389" s="38"/>
    </row>
    <row r="390">
      <c r="F390" s="38"/>
    </row>
    <row r="391">
      <c r="F391" s="38"/>
    </row>
    <row r="392">
      <c r="F392" s="38"/>
    </row>
    <row r="393">
      <c r="F393" s="38"/>
    </row>
    <row r="394">
      <c r="F394" s="38"/>
    </row>
    <row r="395">
      <c r="F395" s="38"/>
    </row>
    <row r="396">
      <c r="F396" s="38"/>
    </row>
    <row r="397">
      <c r="F397" s="38"/>
    </row>
    <row r="398">
      <c r="F398" s="38"/>
    </row>
    <row r="399">
      <c r="F399" s="38"/>
    </row>
    <row r="400">
      <c r="F400" s="38"/>
    </row>
    <row r="401">
      <c r="F401" s="38"/>
    </row>
    <row r="402">
      <c r="F402" s="38"/>
    </row>
    <row r="403">
      <c r="F403" s="38"/>
    </row>
    <row r="404">
      <c r="F404" s="38"/>
    </row>
    <row r="405">
      <c r="F405" s="38"/>
    </row>
    <row r="406">
      <c r="F406" s="38"/>
    </row>
    <row r="407">
      <c r="F407" s="38"/>
    </row>
    <row r="408">
      <c r="F408" s="38"/>
    </row>
    <row r="409">
      <c r="F409" s="38"/>
    </row>
    <row r="410">
      <c r="F410" s="38"/>
    </row>
    <row r="411">
      <c r="F411" s="38"/>
    </row>
    <row r="412">
      <c r="F412" s="38"/>
    </row>
    <row r="413">
      <c r="F413" s="38"/>
    </row>
    <row r="414">
      <c r="F414" s="38"/>
    </row>
    <row r="415">
      <c r="F415" s="38"/>
    </row>
    <row r="416">
      <c r="F416" s="38"/>
    </row>
    <row r="417">
      <c r="F417" s="38"/>
    </row>
    <row r="418">
      <c r="F418" s="38"/>
    </row>
    <row r="419">
      <c r="F419" s="38"/>
    </row>
    <row r="420">
      <c r="F420" s="38"/>
    </row>
    <row r="421">
      <c r="F421" s="38"/>
    </row>
    <row r="422">
      <c r="F422" s="38"/>
    </row>
    <row r="423">
      <c r="F423" s="38"/>
    </row>
    <row r="424">
      <c r="F424" s="38"/>
    </row>
    <row r="425">
      <c r="F425" s="38"/>
    </row>
    <row r="426">
      <c r="F426" s="38"/>
    </row>
    <row r="427">
      <c r="F427" s="38"/>
    </row>
    <row r="428">
      <c r="F428" s="38"/>
    </row>
    <row r="429">
      <c r="F429" s="38"/>
    </row>
    <row r="430">
      <c r="F430" s="38"/>
    </row>
    <row r="431">
      <c r="F431" s="38"/>
    </row>
    <row r="432">
      <c r="F432" s="38"/>
    </row>
    <row r="433">
      <c r="F433" s="38"/>
    </row>
    <row r="434">
      <c r="F434" s="38"/>
    </row>
    <row r="435">
      <c r="F435" s="38"/>
    </row>
    <row r="436">
      <c r="F436" s="38"/>
    </row>
    <row r="437">
      <c r="F437" s="38"/>
    </row>
    <row r="438">
      <c r="F438" s="38"/>
    </row>
    <row r="439">
      <c r="F439" s="38"/>
    </row>
    <row r="440">
      <c r="F440" s="38"/>
    </row>
    <row r="441">
      <c r="F441" s="38"/>
    </row>
    <row r="442">
      <c r="F442" s="38"/>
    </row>
    <row r="443">
      <c r="F443" s="38"/>
    </row>
    <row r="444">
      <c r="F444" s="38"/>
    </row>
    <row r="445">
      <c r="F445" s="38"/>
    </row>
    <row r="446">
      <c r="F446" s="38"/>
    </row>
    <row r="447">
      <c r="F447" s="38"/>
    </row>
    <row r="448">
      <c r="F448" s="38"/>
    </row>
    <row r="449">
      <c r="F449" s="38"/>
    </row>
    <row r="450">
      <c r="F450" s="38"/>
    </row>
    <row r="451">
      <c r="F451" s="38"/>
    </row>
    <row r="452">
      <c r="F452" s="38"/>
    </row>
    <row r="453">
      <c r="F453" s="38"/>
    </row>
    <row r="454">
      <c r="F454" s="38"/>
    </row>
    <row r="455">
      <c r="F455" s="38"/>
    </row>
    <row r="456">
      <c r="F456" s="38"/>
    </row>
    <row r="457">
      <c r="F457" s="38"/>
    </row>
    <row r="458">
      <c r="F458" s="38"/>
    </row>
    <row r="459">
      <c r="F459" s="38"/>
    </row>
    <row r="460">
      <c r="F460" s="38"/>
    </row>
    <row r="461">
      <c r="F461" s="38"/>
    </row>
    <row r="462">
      <c r="F462" s="38"/>
    </row>
    <row r="463">
      <c r="F463" s="38"/>
    </row>
    <row r="464">
      <c r="F464" s="38"/>
    </row>
    <row r="465">
      <c r="F465" s="38"/>
    </row>
    <row r="466">
      <c r="F466" s="38"/>
    </row>
    <row r="467">
      <c r="F467" s="38"/>
    </row>
    <row r="468">
      <c r="F468" s="38"/>
    </row>
    <row r="469">
      <c r="F469" s="38"/>
    </row>
    <row r="470">
      <c r="F470" s="38"/>
    </row>
    <row r="471">
      <c r="F471" s="38"/>
    </row>
    <row r="472">
      <c r="F472" s="38"/>
    </row>
    <row r="473">
      <c r="F473" s="38"/>
    </row>
    <row r="474">
      <c r="F474" s="38"/>
    </row>
    <row r="475">
      <c r="F475" s="38"/>
    </row>
    <row r="476">
      <c r="F476" s="38"/>
    </row>
    <row r="477">
      <c r="F477" s="38"/>
    </row>
    <row r="478">
      <c r="F478" s="38"/>
    </row>
    <row r="479">
      <c r="F479" s="38"/>
    </row>
    <row r="480">
      <c r="F480" s="38"/>
    </row>
    <row r="481">
      <c r="F481" s="38"/>
    </row>
    <row r="482">
      <c r="F482" s="38"/>
    </row>
    <row r="483">
      <c r="F483" s="38"/>
    </row>
    <row r="484">
      <c r="F484" s="38"/>
    </row>
    <row r="485">
      <c r="F485" s="38"/>
    </row>
    <row r="486">
      <c r="F486" s="38"/>
    </row>
    <row r="487">
      <c r="F487" s="38"/>
    </row>
    <row r="488">
      <c r="F488" s="38"/>
    </row>
    <row r="489">
      <c r="F489" s="38"/>
    </row>
    <row r="490">
      <c r="F490" s="38"/>
    </row>
    <row r="491">
      <c r="F491" s="38"/>
    </row>
    <row r="492">
      <c r="F492" s="38"/>
    </row>
    <row r="493">
      <c r="F493" s="38"/>
    </row>
    <row r="494">
      <c r="F494" s="38"/>
    </row>
    <row r="495">
      <c r="F495" s="38"/>
    </row>
    <row r="496">
      <c r="F496" s="38"/>
    </row>
    <row r="497">
      <c r="F497" s="38"/>
    </row>
    <row r="498">
      <c r="F498" s="38"/>
    </row>
    <row r="499">
      <c r="F499" s="38"/>
    </row>
    <row r="500">
      <c r="F500" s="38"/>
    </row>
    <row r="501">
      <c r="F501" s="38"/>
    </row>
    <row r="502">
      <c r="F502" s="38"/>
    </row>
    <row r="503">
      <c r="F503" s="38"/>
    </row>
    <row r="504">
      <c r="F504" s="38"/>
    </row>
    <row r="505">
      <c r="F505" s="38"/>
    </row>
    <row r="506">
      <c r="F506" s="38"/>
    </row>
    <row r="507">
      <c r="F507" s="38"/>
    </row>
    <row r="508">
      <c r="F508" s="38"/>
    </row>
    <row r="509">
      <c r="F509" s="38"/>
    </row>
    <row r="510">
      <c r="F510" s="38"/>
    </row>
    <row r="511">
      <c r="F511" s="38"/>
    </row>
    <row r="512">
      <c r="F512" s="38"/>
    </row>
    <row r="513">
      <c r="F513" s="38"/>
    </row>
    <row r="514">
      <c r="F514" s="38"/>
    </row>
    <row r="515">
      <c r="F515" s="38"/>
    </row>
    <row r="516">
      <c r="F516" s="38"/>
    </row>
    <row r="517">
      <c r="F517" s="38"/>
    </row>
    <row r="518">
      <c r="F518" s="38"/>
    </row>
    <row r="519">
      <c r="F519" s="38"/>
    </row>
    <row r="520">
      <c r="F520" s="38"/>
    </row>
    <row r="521">
      <c r="F521" s="38"/>
    </row>
    <row r="522">
      <c r="F522" s="38"/>
    </row>
    <row r="523">
      <c r="F523" s="38"/>
    </row>
    <row r="524">
      <c r="F524" s="38"/>
    </row>
    <row r="525">
      <c r="F525" s="38"/>
    </row>
    <row r="526">
      <c r="F526" s="38"/>
    </row>
    <row r="527">
      <c r="F527" s="38"/>
    </row>
    <row r="528">
      <c r="F528" s="38"/>
    </row>
    <row r="529">
      <c r="F529" s="38"/>
    </row>
    <row r="530">
      <c r="F530" s="38"/>
    </row>
    <row r="531">
      <c r="F531" s="38"/>
    </row>
    <row r="532">
      <c r="F532" s="38"/>
    </row>
    <row r="533">
      <c r="F533" s="38"/>
    </row>
    <row r="534">
      <c r="F534" s="38"/>
    </row>
    <row r="535">
      <c r="F535" s="38"/>
    </row>
    <row r="536">
      <c r="F536" s="38"/>
    </row>
    <row r="537">
      <c r="F537" s="38"/>
    </row>
    <row r="538">
      <c r="F538" s="38"/>
    </row>
    <row r="539">
      <c r="F539" s="38"/>
    </row>
    <row r="540">
      <c r="F540" s="38"/>
    </row>
    <row r="541">
      <c r="F541" s="38"/>
    </row>
    <row r="542">
      <c r="F542" s="38"/>
    </row>
    <row r="543">
      <c r="F543" s="38"/>
    </row>
    <row r="544">
      <c r="F544" s="38"/>
    </row>
    <row r="545">
      <c r="F545" s="38"/>
    </row>
    <row r="546">
      <c r="F546" s="38"/>
    </row>
    <row r="547">
      <c r="F547" s="38"/>
    </row>
    <row r="548">
      <c r="F548" s="38"/>
    </row>
    <row r="549">
      <c r="F549" s="38"/>
    </row>
    <row r="550">
      <c r="F550" s="38"/>
    </row>
    <row r="551">
      <c r="F551" s="38"/>
    </row>
    <row r="552">
      <c r="F552" s="38"/>
    </row>
    <row r="553">
      <c r="F553" s="38"/>
    </row>
    <row r="554">
      <c r="F554" s="38"/>
    </row>
    <row r="555">
      <c r="F555" s="38"/>
    </row>
    <row r="556">
      <c r="F556" s="38"/>
    </row>
    <row r="557">
      <c r="F557" s="38"/>
    </row>
    <row r="558">
      <c r="F558" s="38"/>
    </row>
    <row r="559">
      <c r="F559" s="38"/>
    </row>
    <row r="560">
      <c r="F560" s="38"/>
    </row>
    <row r="561">
      <c r="F561" s="38"/>
    </row>
    <row r="562">
      <c r="F562" s="38"/>
    </row>
    <row r="563">
      <c r="F563" s="38"/>
    </row>
    <row r="564">
      <c r="F564" s="38"/>
    </row>
    <row r="565">
      <c r="F565" s="38"/>
    </row>
    <row r="566">
      <c r="F566" s="38"/>
    </row>
    <row r="567">
      <c r="F567" s="38"/>
    </row>
    <row r="568">
      <c r="F568" s="38"/>
    </row>
    <row r="569">
      <c r="F569" s="38"/>
    </row>
    <row r="570">
      <c r="F570" s="38"/>
    </row>
    <row r="571">
      <c r="F571" s="38"/>
    </row>
    <row r="572">
      <c r="F572" s="38"/>
    </row>
    <row r="573">
      <c r="F573" s="38"/>
    </row>
    <row r="574">
      <c r="F574" s="38"/>
    </row>
    <row r="575">
      <c r="F575" s="38"/>
    </row>
    <row r="576">
      <c r="F576" s="38"/>
    </row>
    <row r="577">
      <c r="F577" s="38"/>
    </row>
    <row r="578">
      <c r="F578" s="38"/>
    </row>
    <row r="579">
      <c r="F579" s="38"/>
    </row>
    <row r="580">
      <c r="F580" s="38"/>
    </row>
    <row r="581">
      <c r="F581" s="38"/>
    </row>
    <row r="582">
      <c r="F582" s="38"/>
    </row>
    <row r="583">
      <c r="F583" s="38"/>
    </row>
    <row r="584">
      <c r="F584" s="38"/>
    </row>
    <row r="585">
      <c r="F585" s="38"/>
    </row>
    <row r="586">
      <c r="F586" s="38"/>
    </row>
    <row r="587">
      <c r="F587" s="38"/>
    </row>
    <row r="588">
      <c r="F588" s="38"/>
    </row>
    <row r="589">
      <c r="F589" s="38"/>
    </row>
    <row r="590">
      <c r="F590" s="38"/>
    </row>
    <row r="591">
      <c r="F591" s="38"/>
    </row>
    <row r="592">
      <c r="F592" s="38"/>
    </row>
    <row r="593">
      <c r="F593" s="38"/>
    </row>
    <row r="594">
      <c r="F594" s="38"/>
    </row>
    <row r="595">
      <c r="F595" s="38"/>
    </row>
    <row r="596">
      <c r="F596" s="38"/>
    </row>
    <row r="597">
      <c r="F597" s="38"/>
    </row>
    <row r="598">
      <c r="F598" s="38"/>
    </row>
    <row r="599">
      <c r="F599" s="38"/>
    </row>
    <row r="600">
      <c r="F600" s="38"/>
    </row>
    <row r="601">
      <c r="F601" s="38"/>
    </row>
    <row r="602">
      <c r="F602" s="38"/>
    </row>
    <row r="603">
      <c r="F603" s="38"/>
    </row>
    <row r="604">
      <c r="F604" s="38"/>
    </row>
    <row r="605">
      <c r="F605" s="38"/>
    </row>
    <row r="606">
      <c r="F606" s="38"/>
    </row>
    <row r="607">
      <c r="F607" s="38"/>
    </row>
    <row r="608">
      <c r="F608" s="38"/>
    </row>
    <row r="609">
      <c r="F609" s="38"/>
    </row>
    <row r="610">
      <c r="F610" s="38"/>
    </row>
    <row r="611">
      <c r="F611" s="38"/>
    </row>
    <row r="612">
      <c r="F612" s="38"/>
    </row>
    <row r="613">
      <c r="F613" s="38"/>
    </row>
    <row r="614">
      <c r="F614" s="38"/>
    </row>
    <row r="615">
      <c r="F615" s="38"/>
    </row>
    <row r="616">
      <c r="F616" s="38"/>
    </row>
    <row r="617">
      <c r="F617" s="38"/>
    </row>
    <row r="618">
      <c r="F618" s="38"/>
    </row>
    <row r="619">
      <c r="F619" s="38"/>
    </row>
    <row r="620">
      <c r="F620" s="38"/>
    </row>
    <row r="621">
      <c r="F621" s="38"/>
    </row>
    <row r="622">
      <c r="F622" s="38"/>
    </row>
    <row r="623">
      <c r="F623" s="38"/>
    </row>
    <row r="624">
      <c r="F624" s="38"/>
    </row>
    <row r="625">
      <c r="F625" s="38"/>
    </row>
    <row r="626">
      <c r="F626" s="38"/>
    </row>
    <row r="627">
      <c r="F627" s="38"/>
    </row>
    <row r="628">
      <c r="F628" s="38"/>
    </row>
    <row r="629">
      <c r="F629" s="38"/>
    </row>
    <row r="630">
      <c r="F630" s="38"/>
    </row>
    <row r="631">
      <c r="F631" s="38"/>
    </row>
    <row r="632">
      <c r="F632" s="38"/>
    </row>
    <row r="633">
      <c r="F633" s="38"/>
    </row>
    <row r="634">
      <c r="F634" s="38"/>
    </row>
    <row r="635">
      <c r="F635" s="38"/>
    </row>
    <row r="636">
      <c r="F636" s="38"/>
    </row>
    <row r="637">
      <c r="F637" s="38"/>
    </row>
    <row r="638">
      <c r="F638" s="38"/>
    </row>
    <row r="639">
      <c r="F639" s="38"/>
    </row>
    <row r="640">
      <c r="F640" s="38"/>
    </row>
    <row r="641">
      <c r="F641" s="38"/>
    </row>
    <row r="642">
      <c r="F642" s="38"/>
    </row>
    <row r="643">
      <c r="F643" s="38"/>
    </row>
    <row r="644">
      <c r="F644" s="38"/>
    </row>
    <row r="645">
      <c r="F645" s="38"/>
    </row>
    <row r="646">
      <c r="F646" s="38"/>
    </row>
    <row r="647">
      <c r="F647" s="38"/>
    </row>
    <row r="648">
      <c r="F648" s="38"/>
    </row>
    <row r="649">
      <c r="F649" s="38"/>
    </row>
    <row r="650">
      <c r="F650" s="38"/>
    </row>
    <row r="651">
      <c r="F651" s="38"/>
    </row>
    <row r="652">
      <c r="F652" s="38"/>
    </row>
    <row r="653">
      <c r="F653" s="38"/>
    </row>
    <row r="654">
      <c r="F654" s="38"/>
    </row>
    <row r="655">
      <c r="F655" s="38"/>
    </row>
    <row r="656">
      <c r="F656" s="38"/>
    </row>
    <row r="657">
      <c r="F657" s="38"/>
    </row>
    <row r="658">
      <c r="F658" s="38"/>
    </row>
    <row r="659">
      <c r="F659" s="38"/>
    </row>
    <row r="660">
      <c r="F660" s="38"/>
    </row>
    <row r="661">
      <c r="F661" s="38"/>
    </row>
    <row r="662">
      <c r="F662" s="38"/>
    </row>
    <row r="663">
      <c r="F663" s="38"/>
    </row>
    <row r="664">
      <c r="F664" s="38"/>
    </row>
    <row r="665">
      <c r="F665" s="38"/>
    </row>
    <row r="666">
      <c r="F666" s="38"/>
    </row>
    <row r="667">
      <c r="F667" s="38"/>
    </row>
    <row r="668">
      <c r="F668" s="38"/>
    </row>
    <row r="669">
      <c r="F669" s="38"/>
    </row>
    <row r="670">
      <c r="F670" s="38"/>
    </row>
    <row r="671">
      <c r="F671" s="38"/>
    </row>
    <row r="672">
      <c r="F672" s="38"/>
    </row>
    <row r="673">
      <c r="F673" s="38"/>
    </row>
    <row r="674">
      <c r="F674" s="38"/>
    </row>
    <row r="675">
      <c r="F675" s="38"/>
    </row>
    <row r="676">
      <c r="F676" s="38"/>
    </row>
    <row r="677">
      <c r="F677" s="38"/>
    </row>
    <row r="678">
      <c r="F678" s="38"/>
    </row>
    <row r="679">
      <c r="F679" s="38"/>
    </row>
    <row r="680">
      <c r="F680" s="38"/>
    </row>
    <row r="681">
      <c r="F681" s="38"/>
    </row>
    <row r="682">
      <c r="F682" s="38"/>
    </row>
    <row r="683">
      <c r="F683" s="38"/>
    </row>
    <row r="684">
      <c r="F684" s="38"/>
    </row>
    <row r="685">
      <c r="F685" s="38"/>
    </row>
    <row r="686">
      <c r="F686" s="38"/>
    </row>
    <row r="687">
      <c r="F687" s="38"/>
    </row>
    <row r="688">
      <c r="F688" s="38"/>
    </row>
    <row r="689">
      <c r="F689" s="38"/>
    </row>
    <row r="690">
      <c r="F690" s="38"/>
    </row>
    <row r="691">
      <c r="F691" s="38"/>
    </row>
    <row r="692">
      <c r="F692" s="38"/>
    </row>
    <row r="693">
      <c r="F693" s="38"/>
    </row>
    <row r="694">
      <c r="F694" s="38"/>
    </row>
    <row r="695">
      <c r="F695" s="38"/>
    </row>
    <row r="696">
      <c r="F696" s="38"/>
    </row>
    <row r="697">
      <c r="F697" s="38"/>
    </row>
    <row r="698">
      <c r="F698" s="38"/>
    </row>
    <row r="699">
      <c r="F699" s="38"/>
    </row>
    <row r="700">
      <c r="F700" s="38"/>
    </row>
    <row r="701">
      <c r="F701" s="38"/>
    </row>
    <row r="702">
      <c r="F702" s="38"/>
    </row>
    <row r="703">
      <c r="F703" s="38"/>
    </row>
    <row r="704">
      <c r="F704" s="38"/>
    </row>
    <row r="705">
      <c r="F705" s="38"/>
    </row>
    <row r="706">
      <c r="F706" s="38"/>
    </row>
    <row r="707">
      <c r="F707" s="38"/>
    </row>
    <row r="708">
      <c r="F708" s="38"/>
    </row>
    <row r="709">
      <c r="F709" s="38"/>
    </row>
    <row r="710">
      <c r="F710" s="38"/>
    </row>
    <row r="711">
      <c r="F711" s="38"/>
    </row>
    <row r="712">
      <c r="F712" s="38"/>
    </row>
    <row r="713">
      <c r="F713" s="38"/>
    </row>
    <row r="714">
      <c r="F714" s="38"/>
    </row>
    <row r="715">
      <c r="F715" s="38"/>
    </row>
    <row r="716">
      <c r="F716" s="38"/>
    </row>
    <row r="717">
      <c r="F717" s="38"/>
    </row>
    <row r="718">
      <c r="F718" s="38"/>
    </row>
    <row r="719">
      <c r="F719" s="38"/>
    </row>
    <row r="720">
      <c r="F720" s="38"/>
    </row>
    <row r="721">
      <c r="F721" s="38"/>
    </row>
    <row r="722">
      <c r="F722" s="38"/>
    </row>
    <row r="723">
      <c r="F723" s="38"/>
    </row>
    <row r="724">
      <c r="F724" s="38"/>
    </row>
    <row r="725">
      <c r="F725" s="38"/>
    </row>
    <row r="726">
      <c r="F726" s="38"/>
    </row>
    <row r="727">
      <c r="F727" s="38"/>
    </row>
    <row r="728">
      <c r="F728" s="38"/>
    </row>
    <row r="729">
      <c r="F729" s="38"/>
    </row>
    <row r="730">
      <c r="F730" s="38"/>
    </row>
    <row r="731">
      <c r="F731" s="38"/>
    </row>
    <row r="732">
      <c r="F732" s="38"/>
    </row>
    <row r="733">
      <c r="F733" s="38"/>
    </row>
    <row r="734">
      <c r="F734" s="38"/>
    </row>
    <row r="735">
      <c r="F735" s="38"/>
    </row>
    <row r="736">
      <c r="F736" s="38"/>
    </row>
    <row r="737">
      <c r="F737" s="38"/>
    </row>
    <row r="738">
      <c r="F738" s="38"/>
    </row>
    <row r="739">
      <c r="F739" s="38"/>
    </row>
    <row r="740">
      <c r="F740" s="38"/>
    </row>
    <row r="741">
      <c r="F741" s="38"/>
    </row>
    <row r="742">
      <c r="F742" s="38"/>
    </row>
    <row r="743">
      <c r="F743" s="38"/>
    </row>
    <row r="744">
      <c r="F744" s="38"/>
    </row>
    <row r="745">
      <c r="F745" s="38"/>
    </row>
    <row r="746">
      <c r="F746" s="38"/>
    </row>
    <row r="747">
      <c r="F747" s="38"/>
    </row>
    <row r="748">
      <c r="F748" s="38"/>
    </row>
    <row r="749">
      <c r="F749" s="38"/>
    </row>
    <row r="750">
      <c r="F750" s="38"/>
    </row>
    <row r="751">
      <c r="F751" s="38"/>
    </row>
    <row r="752">
      <c r="F752" s="38"/>
    </row>
    <row r="753">
      <c r="F753" s="38"/>
    </row>
    <row r="754">
      <c r="F754" s="38"/>
    </row>
    <row r="755">
      <c r="F755" s="38"/>
    </row>
    <row r="756">
      <c r="F756" s="38"/>
    </row>
    <row r="757">
      <c r="F757" s="38"/>
    </row>
    <row r="758">
      <c r="F758" s="38"/>
    </row>
    <row r="759">
      <c r="F759" s="38"/>
    </row>
    <row r="760">
      <c r="F760" s="38"/>
    </row>
    <row r="761">
      <c r="F761" s="38"/>
    </row>
    <row r="762">
      <c r="F762" s="38"/>
    </row>
    <row r="763">
      <c r="F763" s="38"/>
    </row>
    <row r="764">
      <c r="F764" s="38"/>
    </row>
    <row r="765">
      <c r="F765" s="38"/>
    </row>
    <row r="766">
      <c r="F766" s="38"/>
    </row>
    <row r="767">
      <c r="F767" s="38"/>
    </row>
    <row r="768">
      <c r="F768" s="38"/>
    </row>
    <row r="769">
      <c r="F769" s="38"/>
    </row>
    <row r="770">
      <c r="F770" s="38"/>
    </row>
    <row r="771">
      <c r="F771" s="38"/>
    </row>
    <row r="772">
      <c r="F772" s="38"/>
    </row>
    <row r="773">
      <c r="F773" s="38"/>
    </row>
    <row r="774">
      <c r="F774" s="38"/>
    </row>
    <row r="775">
      <c r="F775" s="38"/>
    </row>
    <row r="776">
      <c r="F776" s="38"/>
    </row>
    <row r="777">
      <c r="F777" s="38"/>
    </row>
    <row r="778">
      <c r="F778" s="38"/>
    </row>
    <row r="779">
      <c r="F779" s="38"/>
    </row>
    <row r="780">
      <c r="F780" s="38"/>
    </row>
    <row r="781">
      <c r="F781" s="38"/>
    </row>
    <row r="782">
      <c r="F782" s="38"/>
    </row>
    <row r="783">
      <c r="F783" s="38"/>
    </row>
    <row r="784">
      <c r="F784" s="38"/>
    </row>
    <row r="785">
      <c r="F785" s="38"/>
    </row>
    <row r="786">
      <c r="F786" s="38"/>
    </row>
    <row r="787">
      <c r="F787" s="38"/>
    </row>
    <row r="788">
      <c r="F788" s="38"/>
    </row>
    <row r="789">
      <c r="F789" s="38"/>
    </row>
    <row r="790">
      <c r="F790" s="38"/>
    </row>
    <row r="791">
      <c r="F791" s="38"/>
    </row>
    <row r="792">
      <c r="F792" s="38"/>
    </row>
    <row r="793">
      <c r="F793" s="38"/>
    </row>
    <row r="794">
      <c r="F794" s="38"/>
    </row>
    <row r="795">
      <c r="F795" s="38"/>
    </row>
    <row r="796">
      <c r="F796" s="38"/>
    </row>
    <row r="797">
      <c r="F797" s="38"/>
    </row>
    <row r="798">
      <c r="F798" s="38"/>
    </row>
    <row r="799">
      <c r="F799" s="38"/>
    </row>
    <row r="800">
      <c r="F800" s="38"/>
    </row>
    <row r="801">
      <c r="F801" s="38"/>
    </row>
    <row r="802">
      <c r="F802" s="38"/>
    </row>
    <row r="803">
      <c r="F803" s="38"/>
    </row>
    <row r="804">
      <c r="F804" s="38"/>
    </row>
    <row r="805">
      <c r="F805" s="38"/>
    </row>
    <row r="806">
      <c r="F806" s="38"/>
    </row>
    <row r="807">
      <c r="F807" s="38"/>
    </row>
    <row r="808">
      <c r="F808" s="38"/>
    </row>
    <row r="809">
      <c r="F809" s="38"/>
    </row>
    <row r="810">
      <c r="F810" s="38"/>
    </row>
    <row r="811">
      <c r="F811" s="38"/>
    </row>
    <row r="812">
      <c r="F812" s="38"/>
    </row>
    <row r="813">
      <c r="F813" s="38"/>
    </row>
    <row r="814">
      <c r="F814" s="38"/>
    </row>
    <row r="815">
      <c r="F815" s="38"/>
    </row>
    <row r="816">
      <c r="F816" s="38"/>
    </row>
    <row r="817">
      <c r="F817" s="38"/>
    </row>
    <row r="818">
      <c r="F818" s="38"/>
    </row>
    <row r="819">
      <c r="F819" s="38"/>
    </row>
    <row r="820">
      <c r="F820" s="38"/>
    </row>
    <row r="821">
      <c r="F821" s="38"/>
    </row>
    <row r="822">
      <c r="F822" s="38"/>
    </row>
    <row r="823">
      <c r="F823" s="38"/>
    </row>
    <row r="824">
      <c r="F824" s="38"/>
    </row>
    <row r="825">
      <c r="F825" s="38"/>
    </row>
    <row r="826">
      <c r="F826" s="38"/>
    </row>
    <row r="827">
      <c r="F827" s="38"/>
    </row>
    <row r="828">
      <c r="F828" s="38"/>
    </row>
    <row r="829">
      <c r="F829" s="38"/>
    </row>
    <row r="830">
      <c r="F830" s="38"/>
    </row>
    <row r="831">
      <c r="F831" s="38"/>
    </row>
    <row r="832">
      <c r="F832" s="38"/>
    </row>
    <row r="833">
      <c r="F833" s="38"/>
    </row>
    <row r="834">
      <c r="F834" s="38"/>
    </row>
    <row r="835">
      <c r="F835" s="38"/>
    </row>
    <row r="836">
      <c r="F836" s="38"/>
    </row>
    <row r="837">
      <c r="F837" s="38"/>
    </row>
    <row r="838">
      <c r="F838" s="38"/>
    </row>
    <row r="839">
      <c r="F839" s="38"/>
    </row>
    <row r="840">
      <c r="F840" s="38"/>
    </row>
    <row r="841">
      <c r="F841" s="38"/>
    </row>
    <row r="842">
      <c r="F842" s="38"/>
    </row>
    <row r="843">
      <c r="F843" s="38"/>
    </row>
    <row r="844">
      <c r="F844" s="38"/>
    </row>
    <row r="845">
      <c r="F845" s="38"/>
    </row>
    <row r="846">
      <c r="F846" s="38"/>
    </row>
    <row r="847">
      <c r="F847" s="38"/>
    </row>
    <row r="848">
      <c r="F848" s="38"/>
    </row>
    <row r="849">
      <c r="F849" s="38"/>
    </row>
    <row r="850">
      <c r="F850" s="38"/>
    </row>
    <row r="851">
      <c r="F851" s="38"/>
    </row>
    <row r="852">
      <c r="F852" s="38"/>
    </row>
    <row r="853">
      <c r="F853" s="38"/>
    </row>
    <row r="854">
      <c r="F854" s="38"/>
    </row>
    <row r="855">
      <c r="F855" s="38"/>
    </row>
    <row r="856">
      <c r="F856" s="38"/>
    </row>
    <row r="857">
      <c r="F857" s="38"/>
    </row>
    <row r="858">
      <c r="F858" s="38"/>
    </row>
    <row r="859">
      <c r="F859" s="38"/>
    </row>
    <row r="860">
      <c r="F860" s="38"/>
    </row>
    <row r="861">
      <c r="F861" s="38"/>
    </row>
    <row r="862">
      <c r="F862" s="38"/>
    </row>
    <row r="863">
      <c r="F863" s="38"/>
    </row>
    <row r="864">
      <c r="F864" s="38"/>
    </row>
    <row r="865">
      <c r="F865" s="38"/>
    </row>
    <row r="866">
      <c r="F866" s="38"/>
    </row>
    <row r="867">
      <c r="F867" s="38"/>
    </row>
    <row r="868">
      <c r="F868" s="38"/>
    </row>
    <row r="869">
      <c r="F869" s="38"/>
    </row>
    <row r="870">
      <c r="F870" s="38"/>
    </row>
    <row r="871">
      <c r="F871" s="38"/>
    </row>
    <row r="872">
      <c r="F872" s="38"/>
    </row>
    <row r="873">
      <c r="F873" s="38"/>
    </row>
    <row r="874">
      <c r="F874" s="38"/>
    </row>
    <row r="875">
      <c r="F875" s="38"/>
    </row>
    <row r="876">
      <c r="F876" s="38"/>
    </row>
    <row r="877">
      <c r="F877" s="38"/>
    </row>
    <row r="878">
      <c r="F878" s="38"/>
    </row>
    <row r="879">
      <c r="F879" s="38"/>
    </row>
    <row r="880">
      <c r="F880" s="38"/>
    </row>
    <row r="881">
      <c r="F881" s="38"/>
    </row>
    <row r="882">
      <c r="F882" s="38"/>
    </row>
    <row r="883">
      <c r="F883" s="38"/>
    </row>
    <row r="884">
      <c r="F884" s="38"/>
    </row>
    <row r="885">
      <c r="F885" s="38"/>
    </row>
    <row r="886">
      <c r="F886" s="38"/>
    </row>
    <row r="887">
      <c r="F887" s="38"/>
    </row>
    <row r="888">
      <c r="F888" s="38"/>
    </row>
    <row r="889">
      <c r="F889" s="38"/>
    </row>
    <row r="890">
      <c r="F890" s="38"/>
    </row>
    <row r="891">
      <c r="F891" s="38"/>
    </row>
    <row r="892">
      <c r="F892" s="38"/>
    </row>
    <row r="893">
      <c r="F893" s="38"/>
    </row>
    <row r="894">
      <c r="F894" s="38"/>
    </row>
    <row r="895">
      <c r="F895" s="38"/>
    </row>
    <row r="896">
      <c r="F896" s="38"/>
    </row>
    <row r="897">
      <c r="F897" s="38"/>
    </row>
    <row r="898">
      <c r="F898" s="38"/>
    </row>
    <row r="899">
      <c r="F899" s="38"/>
    </row>
    <row r="900">
      <c r="F900" s="38"/>
    </row>
    <row r="901">
      <c r="F901" s="38"/>
    </row>
    <row r="902">
      <c r="F902" s="38"/>
    </row>
    <row r="903">
      <c r="F903" s="38"/>
    </row>
    <row r="904">
      <c r="F904" s="38"/>
    </row>
    <row r="905">
      <c r="F905" s="38"/>
    </row>
    <row r="906">
      <c r="F906" s="38"/>
    </row>
    <row r="907">
      <c r="F907" s="38"/>
    </row>
    <row r="908">
      <c r="F908" s="38"/>
    </row>
    <row r="909">
      <c r="F909" s="38"/>
    </row>
    <row r="910">
      <c r="F910" s="38"/>
    </row>
    <row r="911">
      <c r="F911" s="38"/>
    </row>
    <row r="912">
      <c r="F912" s="38"/>
    </row>
    <row r="913">
      <c r="F913" s="38"/>
    </row>
    <row r="914">
      <c r="F914" s="38"/>
    </row>
    <row r="915">
      <c r="F915" s="38"/>
    </row>
    <row r="916">
      <c r="F916" s="38"/>
    </row>
    <row r="917">
      <c r="F917" s="38"/>
    </row>
    <row r="918">
      <c r="F918" s="38"/>
    </row>
    <row r="919">
      <c r="F919" s="38"/>
    </row>
    <row r="920">
      <c r="F920" s="38"/>
    </row>
    <row r="921">
      <c r="F921" s="38"/>
    </row>
    <row r="922">
      <c r="F922" s="38"/>
    </row>
    <row r="923">
      <c r="F923" s="38"/>
    </row>
    <row r="924">
      <c r="F924" s="38"/>
    </row>
    <row r="925">
      <c r="F925" s="38"/>
    </row>
    <row r="926">
      <c r="F926" s="38"/>
    </row>
    <row r="927">
      <c r="F927" s="38"/>
    </row>
    <row r="928">
      <c r="F928" s="38"/>
    </row>
    <row r="929">
      <c r="F929" s="38"/>
    </row>
    <row r="930">
      <c r="F930" s="38"/>
    </row>
    <row r="931">
      <c r="F931" s="38"/>
    </row>
    <row r="932">
      <c r="F932" s="38"/>
    </row>
    <row r="933">
      <c r="F933" s="38"/>
    </row>
    <row r="934">
      <c r="F934" s="38"/>
    </row>
    <row r="935">
      <c r="F935" s="38"/>
    </row>
    <row r="936">
      <c r="F936" s="38"/>
    </row>
    <row r="937">
      <c r="F937" s="38"/>
    </row>
    <row r="938">
      <c r="F938" s="38"/>
    </row>
    <row r="939">
      <c r="F939" s="38"/>
    </row>
    <row r="940">
      <c r="F940" s="38"/>
    </row>
    <row r="941">
      <c r="F941" s="38"/>
    </row>
    <row r="942">
      <c r="F942" s="38"/>
    </row>
    <row r="943">
      <c r="F943" s="38"/>
    </row>
    <row r="944">
      <c r="F944" s="38"/>
    </row>
    <row r="945">
      <c r="F945" s="38"/>
    </row>
    <row r="946">
      <c r="F946" s="38"/>
    </row>
    <row r="947">
      <c r="F947" s="38"/>
    </row>
    <row r="948">
      <c r="F948" s="38"/>
    </row>
    <row r="949">
      <c r="F949" s="38"/>
    </row>
    <row r="950">
      <c r="F950" s="38"/>
    </row>
    <row r="951">
      <c r="F951" s="38"/>
    </row>
    <row r="952">
      <c r="F952" s="38"/>
    </row>
    <row r="953">
      <c r="F953" s="38"/>
    </row>
    <row r="954">
      <c r="F954" s="38"/>
    </row>
    <row r="955">
      <c r="F955" s="38"/>
    </row>
    <row r="956">
      <c r="F956" s="38"/>
    </row>
    <row r="957">
      <c r="F957" s="38"/>
    </row>
    <row r="958">
      <c r="F958" s="38"/>
    </row>
    <row r="959">
      <c r="F959" s="38"/>
    </row>
    <row r="960">
      <c r="F960" s="38"/>
    </row>
    <row r="961">
      <c r="F961" s="38"/>
    </row>
    <row r="962">
      <c r="F962" s="38"/>
    </row>
    <row r="963">
      <c r="F963" s="38"/>
    </row>
    <row r="964">
      <c r="F964" s="38"/>
    </row>
    <row r="965">
      <c r="F965" s="38"/>
    </row>
    <row r="966">
      <c r="F966" s="38"/>
    </row>
    <row r="967">
      <c r="F967" s="38"/>
    </row>
    <row r="968">
      <c r="F968" s="38"/>
    </row>
    <row r="969">
      <c r="F969" s="38"/>
    </row>
    <row r="970">
      <c r="F970" s="38"/>
    </row>
    <row r="971">
      <c r="F971" s="38"/>
    </row>
    <row r="972">
      <c r="F972" s="38"/>
    </row>
    <row r="973">
      <c r="F973" s="38"/>
    </row>
    <row r="974">
      <c r="F974" s="38"/>
    </row>
    <row r="975">
      <c r="F975" s="38"/>
    </row>
    <row r="976">
      <c r="F976" s="38"/>
    </row>
    <row r="977">
      <c r="F977" s="38"/>
    </row>
    <row r="978">
      <c r="F978" s="38"/>
    </row>
    <row r="979">
      <c r="F979" s="38"/>
    </row>
    <row r="980">
      <c r="F980" s="38"/>
    </row>
    <row r="981">
      <c r="F981" s="38"/>
    </row>
    <row r="982">
      <c r="F982" s="38"/>
    </row>
    <row r="983">
      <c r="F983" s="38"/>
    </row>
    <row r="984">
      <c r="F984" s="38"/>
    </row>
    <row r="985">
      <c r="F985" s="38"/>
    </row>
    <row r="986">
      <c r="F986" s="38"/>
    </row>
    <row r="987">
      <c r="F987" s="38"/>
    </row>
    <row r="988">
      <c r="F988" s="38"/>
    </row>
    <row r="989">
      <c r="F989" s="38"/>
    </row>
    <row r="990">
      <c r="F990" s="38"/>
    </row>
    <row r="991">
      <c r="F991" s="38"/>
    </row>
    <row r="992">
      <c r="F992" s="38"/>
    </row>
    <row r="993">
      <c r="F993" s="38"/>
    </row>
    <row r="994">
      <c r="F994" s="38"/>
    </row>
    <row r="995">
      <c r="F995" s="38"/>
    </row>
    <row r="996">
      <c r="F996" s="38"/>
    </row>
    <row r="997">
      <c r="F997" s="38"/>
    </row>
    <row r="998">
      <c r="F998" s="38"/>
    </row>
    <row r="999">
      <c r="F999" s="38"/>
    </row>
    <row r="1000">
      <c r="F1000" s="3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5" t="s">
        <v>244</v>
      </c>
      <c r="B1" s="15" t="s">
        <v>245</v>
      </c>
      <c r="C1" s="16" t="s">
        <v>246</v>
      </c>
      <c r="D1" s="15" t="s">
        <v>215</v>
      </c>
      <c r="E1" s="15" t="s">
        <v>222</v>
      </c>
    </row>
    <row r="2">
      <c r="A2" s="18">
        <v>2.0</v>
      </c>
      <c r="B2" s="18" t="s">
        <v>227</v>
      </c>
      <c r="C2" s="39">
        <v>0.8</v>
      </c>
      <c r="D2" s="25" t="b">
        <v>1</v>
      </c>
      <c r="E2" s="25" t="s">
        <v>247</v>
      </c>
    </row>
    <row r="3">
      <c r="A3" s="18"/>
      <c r="B3" s="18"/>
      <c r="C3" s="39"/>
      <c r="D3" s="25"/>
      <c r="E3" s="2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40" t="s">
        <v>215</v>
      </c>
      <c r="B1" s="40" t="s">
        <v>248</v>
      </c>
      <c r="C1" s="17" t="s">
        <v>249</v>
      </c>
      <c r="D1" s="14" t="s">
        <v>250</v>
      </c>
      <c r="E1" s="17" t="s">
        <v>251</v>
      </c>
      <c r="F1" s="40" t="s">
        <v>117</v>
      </c>
      <c r="G1" s="40" t="s">
        <v>252</v>
      </c>
      <c r="H1" s="40" t="s">
        <v>253</v>
      </c>
      <c r="I1" s="40" t="s">
        <v>254</v>
      </c>
      <c r="J1" s="40" t="s">
        <v>255</v>
      </c>
      <c r="K1" s="40" t="s">
        <v>256</v>
      </c>
    </row>
    <row r="2">
      <c r="A2" s="40" t="b">
        <v>1</v>
      </c>
      <c r="B2" s="40" t="s">
        <v>257</v>
      </c>
      <c r="C2" s="40" t="s">
        <v>258</v>
      </c>
      <c r="D2" s="18">
        <v>4.0</v>
      </c>
      <c r="E2" s="20">
        <v>1.0</v>
      </c>
      <c r="F2" s="20">
        <v>7.0</v>
      </c>
      <c r="G2" s="20">
        <v>2.0</v>
      </c>
      <c r="H2" s="11">
        <v>1.0</v>
      </c>
      <c r="I2" s="11">
        <v>0.0</v>
      </c>
      <c r="J2" s="11">
        <v>0.0</v>
      </c>
      <c r="K2" s="11" t="s">
        <v>259</v>
      </c>
    </row>
    <row r="3">
      <c r="A3" s="40" t="b">
        <v>1</v>
      </c>
      <c r="B3" s="41" t="s">
        <v>260</v>
      </c>
      <c r="C3" s="40" t="s">
        <v>258</v>
      </c>
      <c r="D3" s="18">
        <v>7.0</v>
      </c>
      <c r="E3" s="20">
        <v>2.0</v>
      </c>
      <c r="F3" s="20">
        <v>7.0</v>
      </c>
      <c r="G3" s="20">
        <v>2.0</v>
      </c>
      <c r="H3" s="11">
        <v>1.0</v>
      </c>
      <c r="I3" s="11">
        <v>0.0</v>
      </c>
      <c r="J3" s="11">
        <v>0.0</v>
      </c>
      <c r="K3" s="11" t="s">
        <v>259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5" t="s">
        <v>167</v>
      </c>
      <c r="B1" s="15" t="s">
        <v>168</v>
      </c>
    </row>
    <row r="2">
      <c r="A2" s="25" t="s">
        <v>261</v>
      </c>
      <c r="B2" s="25" t="s">
        <v>262</v>
      </c>
    </row>
    <row r="3">
      <c r="A3" s="25" t="s">
        <v>263</v>
      </c>
      <c r="B3" s="18">
        <v>50.0</v>
      </c>
    </row>
    <row r="4">
      <c r="A4" s="25" t="s">
        <v>264</v>
      </c>
      <c r="B4" s="25">
        <v>10.0</v>
      </c>
    </row>
    <row r="5">
      <c r="A5" s="25" t="s">
        <v>265</v>
      </c>
      <c r="B5" s="25" t="s">
        <v>266</v>
      </c>
    </row>
  </sheetData>
  <drawing r:id="rId1"/>
</worksheet>
</file>