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niel/Library/CloudStorage/GoogleDrive-dhaque@gmail.com/My Drive/rental-intelligence/data/manual/reservations/"/>
    </mc:Choice>
  </mc:AlternateContent>
  <xr:revisionPtr revIDLastSave="0" documentId="13_ncr:1_{8D44E096-95D4-224C-89C0-DDAFE953F984}" xr6:coauthVersionLast="47" xr6:coauthVersionMax="47" xr10:uidLastSave="{00000000-0000-0000-0000-000000000000}"/>
  <bookViews>
    <workbookView xWindow="0" yWindow="780" windowWidth="36000" windowHeight="21080" xr2:uid="{00000000-000D-0000-FFFF-FFFF00000000}"/>
  </bookViews>
  <sheets>
    <sheet name="Reservations" sheetId="1" r:id="rId1"/>
    <sheet name="Variable Expenses" sheetId="2" r:id="rId2"/>
    <sheet name="Fixed Expenses" sheetId="3" r:id="rId3"/>
    <sheet name="Pricing Rules" sheetId="4" r:id="rId4"/>
    <sheet name="Leads" sheetId="5" r:id="rId5"/>
    <sheet name="Widget Settings" sheetId="6" r:id="rId6"/>
    <sheet name="Monthly Targets" sheetId="7" r:id="rId7"/>
    <sheet name="Lookups" sheetId="8" r:id="rId8"/>
    <sheet name="Listings" sheetId="9" r:id="rId9"/>
    <sheet name="Market Listings" sheetId="10" r:id="rId10"/>
    <sheet name="Market Competitor Sets" sheetId="11" r:id="rId11"/>
    <sheet name="Market Scenarios" sheetId="12" r:id="rId12"/>
    <sheet name="Market Settings" sheetId="13" r:id="rId13"/>
  </sheets>
  <definedNames>
    <definedName name="_xlnm._FilterDatabase" localSheetId="2" hidden="1">'Fixed Expenses'!$A$1:$Z$44</definedName>
    <definedName name="_xlnm._FilterDatabase" localSheetId="0" hidden="1">Reservations!$A$1:$K$69</definedName>
    <definedName name="_xlnm._FilterDatabase" localSheetId="1" hidden="1">'Variable Expenses'!$B$1:$B$1000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8" l="1"/>
  <c r="F29" i="8" s="1"/>
  <c r="C8" i="3" s="1"/>
  <c r="D8" i="3" s="1"/>
  <c r="E8" i="3" s="1"/>
  <c r="F8" i="3" s="1"/>
  <c r="G8" i="3" s="1"/>
  <c r="H8" i="3" s="1"/>
  <c r="I8" i="3" s="1"/>
  <c r="J8" i="3" s="1"/>
  <c r="K8" i="3" s="1"/>
  <c r="L8" i="3" s="1"/>
  <c r="M8" i="3" s="1"/>
  <c r="N8" i="3" s="1"/>
  <c r="F15" i="7"/>
  <c r="F13" i="7"/>
  <c r="E13" i="7"/>
  <c r="D13" i="7"/>
  <c r="C13" i="7"/>
  <c r="F12" i="7"/>
  <c r="E12" i="7"/>
  <c r="D12" i="7"/>
  <c r="C12" i="7"/>
  <c r="F11" i="7"/>
  <c r="E11" i="7"/>
  <c r="D11" i="7"/>
  <c r="C11" i="7"/>
  <c r="F10" i="7"/>
  <c r="E10" i="7"/>
  <c r="D10" i="7"/>
  <c r="C10" i="7"/>
  <c r="F9" i="7"/>
  <c r="E9" i="7"/>
  <c r="D9" i="7"/>
  <c r="C9" i="7"/>
  <c r="F8" i="7"/>
  <c r="E8" i="7"/>
  <c r="D8" i="7"/>
  <c r="C8" i="7"/>
  <c r="F7" i="7"/>
  <c r="E7" i="7"/>
  <c r="D7" i="7"/>
  <c r="C7" i="7"/>
  <c r="F6" i="7"/>
  <c r="E6" i="7"/>
  <c r="D6" i="7"/>
  <c r="C6" i="7"/>
  <c r="F5" i="7"/>
  <c r="E5" i="7"/>
  <c r="D5" i="7"/>
  <c r="C5" i="7"/>
  <c r="F4" i="7"/>
  <c r="E4" i="7"/>
  <c r="E15" i="7" s="1"/>
  <c r="D4" i="7"/>
  <c r="D15" i="7" s="1"/>
  <c r="C4" i="7"/>
  <c r="C15" i="7" s="1"/>
  <c r="F3" i="7"/>
  <c r="E3" i="7"/>
  <c r="D3" i="7"/>
  <c r="C3" i="7"/>
  <c r="F2" i="7"/>
  <c r="E2" i="7"/>
  <c r="D2" i="7"/>
  <c r="C2" i="7"/>
  <c r="N33" i="3"/>
  <c r="M33" i="3"/>
  <c r="L33" i="3"/>
  <c r="K33" i="3"/>
  <c r="J33" i="3"/>
  <c r="I33" i="3"/>
  <c r="H33" i="3"/>
  <c r="G33" i="3"/>
  <c r="F33" i="3"/>
  <c r="E33" i="3"/>
  <c r="D33" i="3"/>
  <c r="C33" i="3"/>
  <c r="N32" i="3"/>
  <c r="M32" i="3"/>
  <c r="L32" i="3"/>
  <c r="K32" i="3"/>
  <c r="J32" i="3"/>
  <c r="I32" i="3"/>
  <c r="H32" i="3"/>
  <c r="G32" i="3"/>
  <c r="F32" i="3"/>
  <c r="E32" i="3"/>
  <c r="D32" i="3"/>
  <c r="C32" i="3"/>
  <c r="N31" i="3"/>
  <c r="M31" i="3"/>
  <c r="L31" i="3"/>
  <c r="K31" i="3"/>
  <c r="J31" i="3"/>
  <c r="I31" i="3"/>
  <c r="H31" i="3"/>
  <c r="G31" i="3"/>
  <c r="F31" i="3"/>
  <c r="E31" i="3"/>
  <c r="D31" i="3"/>
  <c r="C31" i="3"/>
  <c r="N30" i="3"/>
  <c r="M30" i="3"/>
  <c r="L30" i="3"/>
  <c r="K30" i="3"/>
  <c r="J30" i="3"/>
  <c r="I30" i="3"/>
  <c r="H30" i="3"/>
  <c r="G30" i="3"/>
  <c r="F30" i="3"/>
  <c r="E30" i="3"/>
  <c r="D30" i="3"/>
  <c r="C30" i="3"/>
  <c r="N29" i="3"/>
  <c r="M29" i="3"/>
  <c r="L29" i="3"/>
  <c r="K29" i="3"/>
  <c r="J29" i="3"/>
  <c r="I29" i="3"/>
  <c r="H29" i="3"/>
  <c r="G29" i="3"/>
  <c r="F29" i="3"/>
  <c r="E29" i="3"/>
  <c r="D29" i="3"/>
  <c r="C29" i="3"/>
  <c r="N28" i="3"/>
  <c r="M28" i="3"/>
  <c r="L28" i="3"/>
  <c r="K28" i="3"/>
  <c r="J28" i="3"/>
  <c r="I28" i="3"/>
  <c r="H28" i="3"/>
  <c r="G28" i="3"/>
  <c r="F28" i="3"/>
  <c r="E28" i="3"/>
  <c r="D28" i="3"/>
  <c r="C28" i="3"/>
  <c r="F25" i="8" l="1"/>
  <c r="C4" i="3" s="1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F26" i="8"/>
  <c r="C5" i="3" s="1"/>
  <c r="D5" i="3" s="1"/>
  <c r="E5" i="3" s="1"/>
  <c r="F5" i="3" s="1"/>
  <c r="G5" i="3" s="1"/>
  <c r="H5" i="3" s="1"/>
  <c r="I5" i="3" s="1"/>
  <c r="J5" i="3" s="1"/>
  <c r="K5" i="3" s="1"/>
  <c r="L5" i="3" s="1"/>
  <c r="M5" i="3" s="1"/>
  <c r="N5" i="3" s="1"/>
  <c r="F27" i="8"/>
  <c r="C6" i="3" s="1"/>
  <c r="D6" i="3" s="1"/>
  <c r="E6" i="3" s="1"/>
  <c r="F6" i="3" s="1"/>
  <c r="G6" i="3" s="1"/>
  <c r="H6" i="3" s="1"/>
  <c r="I6" i="3" s="1"/>
  <c r="J6" i="3" s="1"/>
  <c r="K6" i="3" s="1"/>
  <c r="L6" i="3" s="1"/>
  <c r="M6" i="3" s="1"/>
  <c r="N6" i="3" s="1"/>
  <c r="F28" i="8"/>
  <c r="C7" i="3" s="1"/>
  <c r="D7" i="3" s="1"/>
  <c r="E7" i="3" s="1"/>
  <c r="F7" i="3" s="1"/>
  <c r="G7" i="3" s="1"/>
  <c r="H7" i="3" s="1"/>
  <c r="I7" i="3" s="1"/>
  <c r="J7" i="3" s="1"/>
  <c r="K7" i="3" s="1"/>
  <c r="L7" i="3" s="1"/>
  <c r="M7" i="3" s="1"/>
  <c r="N7" i="3" s="1"/>
</calcChain>
</file>

<file path=xl/sharedStrings.xml><?xml version="1.0" encoding="utf-8"?>
<sst xmlns="http://schemas.openxmlformats.org/spreadsheetml/2006/main" count="816" uniqueCount="565">
  <si>
    <t>Guest Name</t>
  </si>
  <si>
    <t>Listing</t>
  </si>
  <si>
    <t>Booking Source</t>
  </si>
  <si>
    <t>Confirmation Code</t>
  </si>
  <si>
    <t>Booking Date</t>
  </si>
  <si>
    <t>Check in Date</t>
  </si>
  <si>
    <t>Number of Nights</t>
  </si>
  <si>
    <t>Total Revenue</t>
  </si>
  <si>
    <t>Cleaning Fees</t>
  </si>
  <si>
    <t>Concierge Commission</t>
  </si>
  <si>
    <t>Revenue Net</t>
  </si>
  <si>
    <t>Frais Menage+comm</t>
  </si>
  <si>
    <t>Rentabilité</t>
  </si>
  <si>
    <t>Taux par nuit</t>
  </si>
  <si>
    <t>Meuble Apt 6</t>
  </si>
  <si>
    <t>Other</t>
  </si>
  <si>
    <t>Jordan Peskerezh</t>
  </si>
  <si>
    <t>Daniel</t>
  </si>
  <si>
    <t>AirBnb</t>
  </si>
  <si>
    <t>Jean-Louis</t>
  </si>
  <si>
    <t>Gabriel</t>
  </si>
  <si>
    <t>FG</t>
  </si>
  <si>
    <t>FG Web Site</t>
  </si>
  <si>
    <t>Cecile</t>
  </si>
  <si>
    <t>Annaig</t>
  </si>
  <si>
    <t>Didier</t>
  </si>
  <si>
    <t>Cinema</t>
  </si>
  <si>
    <t>Julien</t>
  </si>
  <si>
    <t>Leboncoin</t>
  </si>
  <si>
    <t>Marine</t>
  </si>
  <si>
    <t>Lorenz</t>
  </si>
  <si>
    <t>Veronique</t>
  </si>
  <si>
    <t>Worso</t>
  </si>
  <si>
    <t>Audrey</t>
  </si>
  <si>
    <t>Christelle</t>
  </si>
  <si>
    <t>Virginie</t>
  </si>
  <si>
    <t>Tom</t>
  </si>
  <si>
    <t>Jan Hendrik Kreis</t>
  </si>
  <si>
    <t>Thomas</t>
  </si>
  <si>
    <t>Yolande</t>
  </si>
  <si>
    <t>FG Website</t>
  </si>
  <si>
    <t>Emilie</t>
  </si>
  <si>
    <t>Lena</t>
  </si>
  <si>
    <t>Inconnu</t>
  </si>
  <si>
    <t>Maxime</t>
  </si>
  <si>
    <t>Marie Catherine</t>
  </si>
  <si>
    <t>Chantal</t>
  </si>
  <si>
    <t>Andy</t>
  </si>
  <si>
    <t>Anna</t>
  </si>
  <si>
    <t>Siegfried</t>
  </si>
  <si>
    <t>Elisa</t>
  </si>
  <si>
    <t>Eva</t>
  </si>
  <si>
    <t>Manon</t>
  </si>
  <si>
    <t>Anthony</t>
  </si>
  <si>
    <t>Gisela</t>
  </si>
  <si>
    <t>Maxence</t>
  </si>
  <si>
    <t>Website</t>
  </si>
  <si>
    <t>Anne</t>
  </si>
  <si>
    <t>Chloé</t>
  </si>
  <si>
    <t>Mickael</t>
  </si>
  <si>
    <t>Magali</t>
  </si>
  <si>
    <t>Benoit</t>
  </si>
  <si>
    <t>Maud</t>
  </si>
  <si>
    <t>Marie</t>
  </si>
  <si>
    <t>Lucie</t>
  </si>
  <si>
    <t>Nathalie</t>
  </si>
  <si>
    <t>Safrano</t>
  </si>
  <si>
    <t>Airbnb</t>
  </si>
  <si>
    <t>Cyril</t>
  </si>
  <si>
    <t>Gaetan</t>
  </si>
  <si>
    <t>Yannik</t>
  </si>
  <si>
    <t>Sylvie</t>
  </si>
  <si>
    <t>Angelique</t>
  </si>
  <si>
    <t>Alice</t>
  </si>
  <si>
    <t>Johannes</t>
  </si>
  <si>
    <t>Prescilia</t>
  </si>
  <si>
    <t>Description</t>
  </si>
  <si>
    <t>Type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</si>
  <si>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</si>
  <si>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</si>
  <si>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</si>
  <si>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</si>
  <si>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</si>
  <si>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</si>
  <si>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</si>
  <si>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</si>
  <si>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</si>
  <si>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</si>
  <si>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</si>
  <si>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</si>
  <si>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Electricité</t>
  </si>
  <si>
    <t>estimate</t>
  </si>
  <si>
    <t>actual</t>
  </si>
  <si>
    <t>Fuel</t>
  </si>
  <si>
    <t xml:space="preserve">Mensualité Prêt </t>
  </si>
  <si>
    <t>Charges Copro</t>
  </si>
  <si>
    <t>CFE</t>
  </si>
  <si>
    <t>Assurance PNO</t>
  </si>
  <si>
    <t>Assurance Habitation</t>
  </si>
  <si>
    <t>Jardin</t>
  </si>
  <si>
    <t>Compta</t>
  </si>
  <si>
    <t>Taxe foncieres</t>
  </si>
  <si>
    <t>Tax Habitation</t>
  </si>
  <si>
    <t>Electricité abonnement</t>
  </si>
  <si>
    <t>rule_id</t>
  </si>
  <si>
    <t>property_id</t>
  </si>
  <si>
    <t>start_date</t>
  </si>
  <si>
    <t>end_date</t>
  </si>
  <si>
    <t>nightly_price</t>
  </si>
  <si>
    <t>cleaning_fee</t>
  </si>
  <si>
    <t>min_nights</t>
  </si>
  <si>
    <t>created_at</t>
  </si>
  <si>
    <t>status</t>
  </si>
  <si>
    <t>check_in</t>
  </si>
  <si>
    <t>check_out</t>
  </si>
  <si>
    <t>nights</t>
  </si>
  <si>
    <t>guests</t>
  </si>
  <si>
    <t>currency</t>
  </si>
  <si>
    <t>accommodation_total</t>
  </si>
  <si>
    <t>taxe_de_sejour</t>
  </si>
  <si>
    <t>quoted_total</t>
  </si>
  <si>
    <t>name</t>
  </si>
  <si>
    <t>email</t>
  </si>
  <si>
    <t>phone</t>
  </si>
  <si>
    <t>message</t>
  </si>
  <si>
    <t>gdpr_consent</t>
  </si>
  <si>
    <t>country</t>
  </si>
  <si>
    <t>city</t>
  </si>
  <si>
    <t>timezone</t>
  </si>
  <si>
    <t>source_url</t>
  </si>
  <si>
    <t>user_agent</t>
  </si>
  <si>
    <t>2026-05-23T18:52:50.741Z</t>
  </si>
  <si>
    <t>notified</t>
  </si>
  <si>
    <t>EUR</t>
  </si>
  <si>
    <t>Test User</t>
  </si>
  <si>
    <t>test@example.com</t>
  </si>
  <si>
    <t>Test lead</t>
  </si>
  <si>
    <t>US</t>
  </si>
  <si>
    <t>Charlotte</t>
  </si>
  <si>
    <t>America/New_York</t>
  </si>
  <si>
    <t>test</t>
  </si>
  <si>
    <t>curl/8.7.1</t>
  </si>
  <si>
    <t>2026-05-23T18:57:38.633Z</t>
  </si>
  <si>
    <t>Daniel Haque</t>
  </si>
  <si>
    <t>dhaque@gmail.com</t>
  </si>
  <si>
    <t>test 123</t>
  </si>
  <si>
    <t>https://widget.leclosdelavoilerie.com/</t>
  </si>
  <si>
    <t>Mozilla/5.0 (Macintosh; Intel Mac OS X 10_15_7) AppleWebKit/537.36 (KHTML, like Gecko) Chrome/147.0.0.0 Safari/537.36</t>
  </si>
  <si>
    <t>2026-05-23T19:07:26.306Z</t>
  </si>
  <si>
    <t>Test mister</t>
  </si>
  <si>
    <t>yeahg baby</t>
  </si>
  <si>
    <t>2026-05-23T19:16:01.861Z</t>
  </si>
  <si>
    <t>Aurore</t>
  </si>
  <si>
    <t>aurorefourrier@hotmail.fr</t>
  </si>
  <si>
    <t>hey babe</t>
  </si>
  <si>
    <t>https://widget.leclosdelavoilerie.com/?property_id=5</t>
  </si>
  <si>
    <t>2026-05-23T20:29:22.734Z</t>
  </si>
  <si>
    <t>Leopold Haque</t>
  </si>
  <si>
    <t>baby</t>
  </si>
  <si>
    <t>https://widget.leclosdelavoilerie.com/?property_id=0</t>
  </si>
  <si>
    <t>Mozilla/5.0 (Macintosh; Intel Mac OS X 10_15_7) AppleWebKit/605.1.15 (KHTML, like Gecko) Version/26.3.1 Safari/605.1.15</t>
  </si>
  <si>
    <t>2026-05-24T00:47:40.274Z</t>
  </si>
  <si>
    <t>Danny boy</t>
  </si>
  <si>
    <t>just a test</t>
  </si>
  <si>
    <t>https://widget.leclosdelavoilerie.com/?portfolio=voilerie</t>
  </si>
  <si>
    <t>key</t>
  </si>
  <si>
    <t>value</t>
  </si>
  <si>
    <t>default_currency</t>
  </si>
  <si>
    <t>default_language</t>
  </si>
  <si>
    <t>fr</t>
  </si>
  <si>
    <t>default_min_nights</t>
  </si>
  <si>
    <t>booking_email_to</t>
  </si>
  <si>
    <t>lead_status_default</t>
  </si>
  <si>
    <t>new</t>
  </si>
  <si>
    <t>quote_valid_hours</t>
  </si>
  <si>
    <t>show_cleaning_fee</t>
  </si>
  <si>
    <t>allow_hold_request</t>
  </si>
  <si>
    <t>max_guests_default</t>
  </si>
  <si>
    <t>direct_booking_message</t>
  </si>
  <si>
    <t>Demande envoyée — nous revenons vers vous rapidement.</t>
  </si>
  <si>
    <t>Month</t>
  </si>
  <si>
    <t>Year</t>
  </si>
  <si>
    <t>Sum</t>
  </si>
  <si>
    <t>Listings</t>
  </si>
  <si>
    <t>Grande maison de famille avec piscine</t>
  </si>
  <si>
    <t>Un balcon sur la mer</t>
  </si>
  <si>
    <t>Les pieds dans l’eau</t>
  </si>
  <si>
    <t>Apartment 5</t>
  </si>
  <si>
    <t>Apartment 6</t>
  </si>
  <si>
    <t>Annexe</t>
  </si>
  <si>
    <t>Apartment Plozevet</t>
  </si>
  <si>
    <t>Source</t>
  </si>
  <si>
    <t>LeBonCoin</t>
  </si>
  <si>
    <t>Milliemes</t>
  </si>
  <si>
    <t>Lots</t>
  </si>
  <si>
    <t>Milliemes de Charges generale</t>
  </si>
  <si>
    <t>listing</t>
  </si>
  <si>
    <t>%</t>
  </si>
  <si>
    <t>Total ours</t>
  </si>
  <si>
    <t>Name</t>
  </si>
  <si>
    <t>Description AirBnB</t>
  </si>
  <si>
    <t>Group</t>
  </si>
  <si>
    <t>La Peskerezh</t>
  </si>
  <si>
    <t>Peskerezh</t>
  </si>
  <si>
    <t>Voilerie 4</t>
  </si>
  <si>
    <t>Voilerie</t>
  </si>
  <si>
    <t>Voilerie 2</t>
  </si>
  <si>
    <t>Un jardin sur la mer</t>
  </si>
  <si>
    <t>Voilerie 5</t>
  </si>
  <si>
    <t>Voilerie 6</t>
  </si>
  <si>
    <t>VoilerieOther</t>
  </si>
  <si>
    <t>Voilerie Annexe</t>
  </si>
  <si>
    <t>Apartment La Peskerezh</t>
  </si>
  <si>
    <t>active</t>
  </si>
  <si>
    <t>listing_id</t>
  </si>
  <si>
    <t>listing_name</t>
  </si>
  <si>
    <t>type</t>
  </si>
  <si>
    <t>source</t>
  </si>
  <si>
    <t>airbnb_id</t>
  </si>
  <si>
    <t>portfolio</t>
  </si>
  <si>
    <t>notes</t>
  </si>
  <si>
    <t>4</t>
  </si>
  <si>
    <t>own</t>
  </si>
  <si>
    <t>airbnb</t>
  </si>
  <si>
    <t>1445081161439839662</t>
  </si>
  <si>
    <t>c1</t>
  </si>
  <si>
    <t>Philippe Tessier</t>
  </si>
  <si>
    <t>competitor</t>
  </si>
  <si>
    <t>1634147360136656154</t>
  </si>
  <si>
    <t>c2</t>
  </si>
  <si>
    <t>Trescadec</t>
  </si>
  <si>
    <t>14884205</t>
  </si>
  <si>
    <t>2</t>
  </si>
  <si>
    <t>1575129991787890434</t>
  </si>
  <si>
    <t>5</t>
  </si>
  <si>
    <t>1434608008789009131</t>
  </si>
  <si>
    <t>c3</t>
  </si>
  <si>
    <t>Sea view &amp; Port d'Audierne</t>
  </si>
  <si>
    <t>1370286702062952676</t>
  </si>
  <si>
    <t>c4</t>
  </si>
  <si>
    <t>House combining old and contemporary with garden</t>
  </si>
  <si>
    <t>45538206</t>
  </si>
  <si>
    <t>own_listing_id</t>
  </si>
  <si>
    <t>competitor_listing_id</t>
  </si>
  <si>
    <t>expected_price_index</t>
  </si>
  <si>
    <t>competitor should be 20% cheaper</t>
  </si>
  <si>
    <t>scenario_id</t>
  </si>
  <si>
    <t>mode</t>
  </si>
  <si>
    <t>horizon_count</t>
  </si>
  <si>
    <t>month_start_offset</t>
  </si>
  <si>
    <t>adults</t>
  </si>
  <si>
    <t>children</t>
  </si>
  <si>
    <t>infants</t>
  </si>
  <si>
    <t>pets</t>
  </si>
  <si>
    <t>checkin_weekday</t>
  </si>
  <si>
    <t>weekly_7n</t>
  </si>
  <si>
    <t>weekly</t>
  </si>
  <si>
    <t>Saturday</t>
  </si>
  <si>
    <t>monthly_7n</t>
  </si>
  <si>
    <t>apify_actor_id</t>
  </si>
  <si>
    <t>sve/airbnb-price-scraper</t>
  </si>
  <si>
    <t>max_scrapes_per_run</t>
  </si>
  <si>
    <t>alert_price_change_pct</t>
  </si>
  <si>
    <t>output_folder</t>
  </si>
  <si>
    <t>data/market</t>
  </si>
  <si>
    <t>100.00%</t>
  </si>
  <si>
    <t>27.95</t>
  </si>
  <si>
    <t>16.44</t>
  </si>
  <si>
    <t>218.85</t>
  </si>
  <si>
    <t>32.124</t>
  </si>
  <si>
    <t>101.726</t>
  </si>
  <si>
    <t>117.124</t>
  </si>
  <si>
    <t>46.48%</t>
  </si>
  <si>
    <t>33.91</t>
  </si>
  <si>
    <t>155.2</t>
  </si>
  <si>
    <t>21.648</t>
  </si>
  <si>
    <t>68.552</t>
  </si>
  <si>
    <t>86.648</t>
  </si>
  <si>
    <t>44.17%</t>
  </si>
  <si>
    <t>34.28</t>
  </si>
  <si>
    <t>56.4</t>
  </si>
  <si>
    <t>178.6</t>
  </si>
  <si>
    <t>121.4</t>
  </si>
  <si>
    <t>59.53%</t>
  </si>
  <si>
    <t>35.72</t>
  </si>
  <si>
    <t>181.67</t>
  </si>
  <si>
    <t>23.2008</t>
  </si>
  <si>
    <t>73.4692</t>
  </si>
  <si>
    <t>108.2008</t>
  </si>
  <si>
    <t>40.44%</t>
  </si>
  <si>
    <t>36.73</t>
  </si>
  <si>
    <t>215.47</t>
  </si>
  <si>
    <t>26.5128</t>
  </si>
  <si>
    <t>83.9572</t>
  </si>
  <si>
    <t>131.5128</t>
  </si>
  <si>
    <t>38.96%</t>
  </si>
  <si>
    <t>41.98</t>
  </si>
  <si>
    <t>236.18</t>
  </si>
  <si>
    <t>41.0832</t>
  </si>
  <si>
    <t>130.0968</t>
  </si>
  <si>
    <t>106.0832</t>
  </si>
  <si>
    <t>55.08%</t>
  </si>
  <si>
    <t>43.37</t>
  </si>
  <si>
    <t>193.2</t>
  </si>
  <si>
    <t>611.8</t>
  </si>
  <si>
    <t>278.2</t>
  </si>
  <si>
    <t>68.74%</t>
  </si>
  <si>
    <t>43.70</t>
  </si>
  <si>
    <t>28.8</t>
  </si>
  <si>
    <t>91.2</t>
  </si>
  <si>
    <t>93.8</t>
  </si>
  <si>
    <t>49.30%</t>
  </si>
  <si>
    <t>45.60</t>
  </si>
  <si>
    <t>720.5</t>
  </si>
  <si>
    <t>152.52</t>
  </si>
  <si>
    <t>482.98</t>
  </si>
  <si>
    <t>237.52</t>
  </si>
  <si>
    <t>67.03%</t>
  </si>
  <si>
    <t>48.30</t>
  </si>
  <si>
    <t>557.31</t>
  </si>
  <si>
    <t>113.3544</t>
  </si>
  <si>
    <t>358.9556</t>
  </si>
  <si>
    <t>198.3544</t>
  </si>
  <si>
    <t>64.41%</t>
  </si>
  <si>
    <t>51.28</t>
  </si>
  <si>
    <t>638.14</t>
  </si>
  <si>
    <t>132.7536</t>
  </si>
  <si>
    <t>420.3864</t>
  </si>
  <si>
    <t>217.7536</t>
  </si>
  <si>
    <t>65.88%</t>
  </si>
  <si>
    <t>52.55</t>
  </si>
  <si>
    <t>151.2</t>
  </si>
  <si>
    <t>478.8</t>
  </si>
  <si>
    <t>236.2</t>
  </si>
  <si>
    <t>66.97%</t>
  </si>
  <si>
    <t>53.20</t>
  </si>
  <si>
    <t>598.26</t>
  </si>
  <si>
    <t>114.7824</t>
  </si>
  <si>
    <t>363.4776</t>
  </si>
  <si>
    <t>234.7824</t>
  </si>
  <si>
    <t>60.76%</t>
  </si>
  <si>
    <t>60.58</t>
  </si>
  <si>
    <t>1043.15</t>
  </si>
  <si>
    <t>229.956</t>
  </si>
  <si>
    <t>728.194</t>
  </si>
  <si>
    <t>314.956</t>
  </si>
  <si>
    <t>69.81%</t>
  </si>
  <si>
    <t>60.68</t>
  </si>
  <si>
    <t>523.9</t>
  </si>
  <si>
    <t>100.536</t>
  </si>
  <si>
    <t>318.364</t>
  </si>
  <si>
    <t>205.536</t>
  </si>
  <si>
    <t>60.77%</t>
  </si>
  <si>
    <t>63.67</t>
  </si>
  <si>
    <t>440.52</t>
  </si>
  <si>
    <t>80.5248</t>
  </si>
  <si>
    <t>254.9952</t>
  </si>
  <si>
    <t>185.5248</t>
  </si>
  <si>
    <t>57.89%</t>
  </si>
  <si>
    <t>63.75</t>
  </si>
  <si>
    <t>1260.83</t>
  </si>
  <si>
    <t>286.9992</t>
  </si>
  <si>
    <t>908.8308</t>
  </si>
  <si>
    <t>351.9992</t>
  </si>
  <si>
    <t>72.08%</t>
  </si>
  <si>
    <t>64.92</t>
  </si>
  <si>
    <t>689.94</t>
  </si>
  <si>
    <t>145.1856</t>
  </si>
  <si>
    <t>459.7544</t>
  </si>
  <si>
    <t>230.1856</t>
  </si>
  <si>
    <t>66.64%</t>
  </si>
  <si>
    <t>65.68</t>
  </si>
  <si>
    <t>68.40</t>
  </si>
  <si>
    <t>287.3</t>
  </si>
  <si>
    <t>43.752</t>
  </si>
  <si>
    <t>138.548</t>
  </si>
  <si>
    <t>148.752</t>
  </si>
  <si>
    <t>48.22%</t>
  </si>
  <si>
    <t>69.27</t>
  </si>
  <si>
    <t>460.52</t>
  </si>
  <si>
    <t>90.1248</t>
  </si>
  <si>
    <t>285.3952</t>
  </si>
  <si>
    <t>175.1248</t>
  </si>
  <si>
    <t>61.97%</t>
  </si>
  <si>
    <t>71.35</t>
  </si>
  <si>
    <t>65.77%</t>
  </si>
  <si>
    <t>73.29</t>
  </si>
  <si>
    <t>1017.38</t>
  </si>
  <si>
    <t>215.3712</t>
  </si>
  <si>
    <t>682.0088</t>
  </si>
  <si>
    <t>335.3712</t>
  </si>
  <si>
    <t>67.04%</t>
  </si>
  <si>
    <t>75.78</t>
  </si>
  <si>
    <t>305.04</t>
  </si>
  <si>
    <t>965.96</t>
  </si>
  <si>
    <t>410.04</t>
  </si>
  <si>
    <t>70.20%</t>
  </si>
  <si>
    <t>69.00</t>
  </si>
  <si>
    <t>188.4</t>
  </si>
  <si>
    <t>596.6</t>
  </si>
  <si>
    <t>293.4</t>
  </si>
  <si>
    <t>85.23</t>
  </si>
  <si>
    <t>1492.27</t>
  </si>
  <si>
    <t>337.7448</t>
  </si>
  <si>
    <t>1069.5252</t>
  </si>
  <si>
    <t>422.7448</t>
  </si>
  <si>
    <t>71.67%</t>
  </si>
  <si>
    <t>97.23</t>
  </si>
  <si>
    <t>1013.83</t>
  </si>
  <si>
    <t>218.1192</t>
  </si>
  <si>
    <t>690.7108</t>
  </si>
  <si>
    <t>323.1192</t>
  </si>
  <si>
    <t>68.13%</t>
  </si>
  <si>
    <t>98.67</t>
  </si>
  <si>
    <t>790.07</t>
  </si>
  <si>
    <t>169.2168</t>
  </si>
  <si>
    <t>535.8532</t>
  </si>
  <si>
    <t>254.2168</t>
  </si>
  <si>
    <t>67.82%</t>
  </si>
  <si>
    <t>107.17</t>
  </si>
  <si>
    <t>2087.84</t>
  </si>
  <si>
    <t>475.8816</t>
  </si>
  <si>
    <t>1506.9584</t>
  </si>
  <si>
    <t>580.8816</t>
  </si>
  <si>
    <t>72.18%</t>
  </si>
  <si>
    <t>107.64</t>
  </si>
  <si>
    <t>560.56</t>
  </si>
  <si>
    <t>475.56</t>
  </si>
  <si>
    <t>84.84%</t>
  </si>
  <si>
    <t>118.89</t>
  </si>
  <si>
    <t>202.44</t>
  </si>
  <si>
    <t>122.44</t>
  </si>
  <si>
    <t>60.48%</t>
  </si>
  <si>
    <t>573.58</t>
  </si>
  <si>
    <t>117.2592</t>
  </si>
  <si>
    <t>371.3208</t>
  </si>
  <si>
    <t>202.2592</t>
  </si>
  <si>
    <t>64.74%</t>
  </si>
  <si>
    <t>123.77</t>
  </si>
  <si>
    <t>732.64</t>
  </si>
  <si>
    <t>652.64</t>
  </si>
  <si>
    <t>89.08%</t>
  </si>
  <si>
    <t>163.16</t>
  </si>
  <si>
    <t>694.08</t>
  </si>
  <si>
    <t>614.08</t>
  </si>
  <si>
    <t>88.47%</t>
  </si>
  <si>
    <t>204.69</t>
  </si>
  <si>
    <t>2024.88</t>
  </si>
  <si>
    <t>1904.88</t>
  </si>
  <si>
    <t>94.07%</t>
  </si>
  <si>
    <t>238.11</t>
  </si>
  <si>
    <t>616.96</t>
  </si>
  <si>
    <t>496.96</t>
  </si>
  <si>
    <t>80.55%</t>
  </si>
  <si>
    <t>248.48</t>
  </si>
  <si>
    <t>1893.77</t>
  </si>
  <si>
    <t>1773.77</t>
  </si>
  <si>
    <t>93.66%</t>
  </si>
  <si>
    <t>253.40</t>
  </si>
  <si>
    <t>621.78</t>
  </si>
  <si>
    <t>536.78</t>
  </si>
  <si>
    <t>86.33%</t>
  </si>
  <si>
    <t>268.39</t>
  </si>
  <si>
    <t>706.4</t>
  </si>
  <si>
    <t>586.4</t>
  </si>
  <si>
    <t>83.01%</t>
  </si>
  <si>
    <t>293.20</t>
  </si>
  <si>
    <t>667.4</t>
  </si>
  <si>
    <t>587.4</t>
  </si>
  <si>
    <t>88.01%</t>
  </si>
  <si>
    <t>293.70</t>
  </si>
  <si>
    <t>1292.8</t>
  </si>
  <si>
    <t>1212.8</t>
  </si>
  <si>
    <t>93.81%</t>
  </si>
  <si>
    <t>303.20</t>
  </si>
  <si>
    <t>621.07</t>
  </si>
  <si>
    <t>123.8568</t>
  </si>
  <si>
    <t>392.2132</t>
  </si>
  <si>
    <t>228.8568</t>
  </si>
  <si>
    <t>63.15%</t>
  </si>
  <si>
    <t>130.74</t>
  </si>
  <si>
    <t>332.58</t>
  </si>
  <si>
    <t>54.6192</t>
  </si>
  <si>
    <t>172.9608</t>
  </si>
  <si>
    <t>159.6192</t>
  </si>
  <si>
    <t>52.01%</t>
  </si>
  <si>
    <t>57.65</t>
  </si>
  <si>
    <t>283.07</t>
  </si>
  <si>
    <t>42.7368</t>
  </si>
  <si>
    <t>135.3332</t>
  </si>
  <si>
    <t>147.7368</t>
  </si>
  <si>
    <t>47.81%</t>
  </si>
  <si>
    <t>67.67</t>
  </si>
  <si>
    <t>1512.52</t>
  </si>
  <si>
    <t>1392.52</t>
  </si>
  <si>
    <t>92.07%</t>
  </si>
  <si>
    <t>198.93</t>
  </si>
  <si>
    <t>1672.8</t>
  </si>
  <si>
    <t>1552.8</t>
  </si>
  <si>
    <t>92.83%</t>
  </si>
  <si>
    <t>258.80</t>
  </si>
  <si>
    <t>665.16</t>
  </si>
  <si>
    <t>585.16</t>
  </si>
  <si>
    <t>87.97%</t>
  </si>
  <si>
    <t>195.05</t>
  </si>
  <si>
    <t>1685.46</t>
  </si>
  <si>
    <t>1565.46</t>
  </si>
  <si>
    <t>92.88%</t>
  </si>
  <si>
    <t>260.91</t>
  </si>
  <si>
    <t>178.34</t>
  </si>
  <si>
    <t>27.2016</t>
  </si>
  <si>
    <t>86.1384</t>
  </si>
  <si>
    <t>92.2016</t>
  </si>
  <si>
    <t>48.30%</t>
  </si>
  <si>
    <t>43.07</t>
  </si>
  <si>
    <t>375.96</t>
  </si>
  <si>
    <t>65.0304</t>
  </si>
  <si>
    <t>270.96</t>
  </si>
  <si>
    <t>466.86</t>
  </si>
  <si>
    <t>91.6464</t>
  </si>
  <si>
    <t>290.2136</t>
  </si>
  <si>
    <t>176.6464</t>
  </si>
  <si>
    <t>62.16%</t>
  </si>
  <si>
    <t>41.46</t>
  </si>
  <si>
    <t>1574.69</t>
  </si>
  <si>
    <t>357.5256</t>
  </si>
  <si>
    <t>1132.1644</t>
  </si>
  <si>
    <t>442.5256</t>
  </si>
  <si>
    <t>71.90%</t>
  </si>
  <si>
    <t>94.35</t>
  </si>
  <si>
    <t>1264.19</t>
  </si>
  <si>
    <t>278.2056</t>
  </si>
  <si>
    <t>880.9844</t>
  </si>
  <si>
    <t>383.2056</t>
  </si>
  <si>
    <t>69.69%</t>
  </si>
  <si>
    <t>110.12</t>
  </si>
  <si>
    <t>1236.42</t>
  </si>
  <si>
    <t>271.5408</t>
  </si>
  <si>
    <t>859.8792</t>
  </si>
  <si>
    <t>376.5408</t>
  </si>
  <si>
    <t>69.55%</t>
  </si>
  <si>
    <t>107.48</t>
  </si>
  <si>
    <t>232.32</t>
  </si>
  <si>
    <t>30.5568</t>
  </si>
  <si>
    <t>96.7632</t>
  </si>
  <si>
    <t>135.5568</t>
  </si>
  <si>
    <t>41.65%</t>
  </si>
  <si>
    <t>48.38</t>
  </si>
  <si>
    <t>Alexandre </t>
  </si>
  <si>
    <t>220.54</t>
  </si>
  <si>
    <t>27.7296</t>
  </si>
  <si>
    <t>87.8104</t>
  </si>
  <si>
    <t>132.7296</t>
  </si>
  <si>
    <t>39.82%</t>
  </si>
  <si>
    <t>43.91</t>
  </si>
  <si>
    <t>168.7</t>
  </si>
  <si>
    <t>24.888</t>
  </si>
  <si>
    <t>78.812</t>
  </si>
  <si>
    <t>89.888</t>
  </si>
  <si>
    <t>46.72%</t>
  </si>
  <si>
    <t>26.27</t>
  </si>
  <si>
    <t>Marion</t>
  </si>
  <si>
    <t>392.92</t>
  </si>
  <si>
    <t>78.7008</t>
  </si>
  <si>
    <t>249.2192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</si>
</sst>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0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ptos Narrow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u/>
      <sz val="12"/>
      <color rgb="FF0000FF"/>
      <name val="Aptos Narrow"/>
    </font>
    <font>
      <sz val="12"/>
      <color rgb="FF000000"/>
      <name val="Aptos Narrow"/>
      <scheme val="minor"/>
    </font>
    <font>
      <sz val="12"/>
      <color rgb="FF1F1F1F"/>
      <name val="Arial"/>
      <family val="2"/>
    </font>
    <font>
      <sz val="10"/>
      <color rgb="FF000000"/>
      <name val="Helvetica Neue"/>
      <family val="2"/>
    </font>
    <font>
      <sz val="12"/>
      <color rgb="FFFFFFFF"/>
      <name val="Aptos Narrow"/>
    </font>
    <font>
      <sz val="12"/>
      <color theme="0"/>
      <name val="Aptos Narrow"/>
    </font>
    <font>
      <sz val="12"/>
      <color rgb="FF000000"/>
      <name val="Aptos Narrow"/>
    </font>
    <font>
      <sz val="12"/>
      <color rgb="FF222222"/>
      <name val="Arial"/>
      <family val="2"/>
    </font>
    <font>
      <sz val="12"/>
      <color rgb="FF000000"/>
      <name val="-webkit-standard"/>
    </font>
    <font>
      <sz val="12"/>
      <color rgb="FF000000"/>
      <name val="Arial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/>
    <xf numFmtId="165" fontId="7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0" applyFont="1"/>
    <xf numFmtId="165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2" borderId="1" xfId="0" applyFont="1" applyFill="1" applyBorder="1"/>
    <xf numFmtId="0" fontId="14" fillId="3" borderId="1" xfId="0" applyFont="1" applyFill="1" applyBorder="1"/>
    <xf numFmtId="0" fontId="15" fillId="0" borderId="0" xfId="0" applyFont="1"/>
    <xf numFmtId="49" fontId="5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quotePrefix="1" applyNumberFormat="1" applyFont="1"/>
    <xf numFmtId="0" fontId="16" fillId="4" borderId="0" xfId="0" applyFont="1" applyFill="1"/>
    <xf numFmtId="49" fontId="4" fillId="0" borderId="0" xfId="0" applyNumberFormat="1" applyFont="1"/>
    <xf numFmtId="49" fontId="4" fillId="0" borderId="0" xfId="0" quotePrefix="1" applyNumberFormat="1" applyFont="1"/>
    <xf numFmtId="49" fontId="3" fillId="0" borderId="0" xfId="0" applyNumberFormat="1" applyFont="1"/>
    <xf numFmtId="0" fontId="10" fillId="0" borderId="0" xfId="0" applyFont="1" applyAlignment="1">
      <alignment horizontal="right"/>
    </xf>
    <xf numFmtId="0" fontId="17" fillId="0" borderId="0" xfId="0" applyFont="1"/>
    <xf numFmtId="0" fontId="18" fillId="0" borderId="0" xfId="0" applyFont="1"/>
    <xf numFmtId="0" fontId="19" fillId="0" borderId="0" xfId="0" applyFont="1"/>
    <xf numFmtId="14" fontId="0" fillId="0" borderId="0" xfId="0" applyNumberForma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657225</xdr:colOff>
      <xdr:row>4</xdr:row>
      <xdr:rowOff>47625</xdr:rowOff>
    </xdr:from>
    <xdr:ext cx="1552575" cy="4667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79238" y="3556163"/>
          <a:ext cx="1533525" cy="447675"/>
        </a:xfrm>
        <a:prstGeom prst="roundRect">
          <a:avLst>
            <a:gd name="adj" fmla="val 16667"/>
          </a:avLst>
        </a:prstGeom>
        <a:solidFill>
          <a:schemeClr val="accent1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Update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idget.leclosdelavoilerie.com/?property_id=5" TargetMode="External"/><Relationship Id="rId2" Type="http://schemas.openxmlformats.org/officeDocument/2006/relationships/hyperlink" Target="https://widget.leclosdelavoilerie.com/" TargetMode="External"/><Relationship Id="rId1" Type="http://schemas.openxmlformats.org/officeDocument/2006/relationships/hyperlink" Target="https://widget.leclosdelavoilerie.com/" TargetMode="External"/><Relationship Id="rId5" Type="http://schemas.openxmlformats.org/officeDocument/2006/relationships/hyperlink" Target="https://widget.leclosdelavoilerie.com/?portfolio=voilerie" TargetMode="External"/><Relationship Id="rId4" Type="http://schemas.openxmlformats.org/officeDocument/2006/relationships/hyperlink" Target="https://widget.leclosdelavoilerie.com/?property_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O66" sqref="O66"/>
    </sheetView>
  </sheetViews>
  <sheetFormatPr baseColWidth="10" defaultColWidth="11.1640625" defaultRowHeight="15" customHeight="1"/>
  <cols>
    <col min="1" max="1" width="14" customWidth="1"/>
    <col min="2" max="2" width="8" customWidth="1"/>
    <col min="3" max="3" width="18.5" customWidth="1"/>
    <col min="4" max="5" width="12.5" customWidth="1"/>
    <col min="6" max="6" width="15.33203125" customWidth="1"/>
    <col min="7" max="7" width="12.83203125" customWidth="1"/>
    <col min="8" max="8" width="16.5" customWidth="1"/>
    <col min="9" max="9" width="15.33203125" customWidth="1"/>
    <col min="10" max="10" width="20.1640625" customWidth="1"/>
    <col min="11" max="11" width="10.5" customWidth="1"/>
    <col min="12" max="12" width="19.6640625" customWidth="1"/>
    <col min="13" max="13" width="10.5" customWidth="1"/>
    <col min="14" max="14" width="10.83203125" customWidth="1"/>
    <col min="15" max="26" width="10.5" customWidth="1"/>
  </cols>
  <sheetData>
    <row r="1" spans="1:26" ht="15.75" customHeigh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t="s">
        <v>14</v>
      </c>
      <c r="B2">
        <v>6</v>
      </c>
      <c r="C2" t="s">
        <v>15</v>
      </c>
      <c r="E2" s="34">
        <v>46023</v>
      </c>
      <c r="F2" s="34">
        <v>46023</v>
      </c>
      <c r="G2">
        <v>365</v>
      </c>
      <c r="H2">
        <v>10200</v>
      </c>
      <c r="I2">
        <v>0</v>
      </c>
      <c r="J2">
        <v>0</v>
      </c>
      <c r="K2">
        <v>10200</v>
      </c>
      <c r="L2">
        <v>0</v>
      </c>
      <c r="M2" t="s">
        <v>265</v>
      </c>
      <c r="N2" t="s">
        <v>266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t="s">
        <v>16</v>
      </c>
      <c r="B3">
        <v>8</v>
      </c>
      <c r="C3" t="s">
        <v>15</v>
      </c>
      <c r="E3" s="34">
        <v>46023</v>
      </c>
      <c r="F3" s="34">
        <v>46023</v>
      </c>
      <c r="G3">
        <v>365</v>
      </c>
      <c r="H3">
        <v>6000</v>
      </c>
      <c r="I3">
        <v>0</v>
      </c>
      <c r="J3">
        <v>0</v>
      </c>
      <c r="K3">
        <v>6000</v>
      </c>
      <c r="L3">
        <v>0</v>
      </c>
      <c r="M3" t="s">
        <v>265</v>
      </c>
      <c r="N3" t="s">
        <v>267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t="s">
        <v>17</v>
      </c>
      <c r="B4">
        <v>2</v>
      </c>
      <c r="C4" t="s">
        <v>18</v>
      </c>
      <c r="F4" s="34">
        <v>46052</v>
      </c>
      <c r="G4">
        <v>3</v>
      </c>
      <c r="H4" t="s">
        <v>268</v>
      </c>
      <c r="I4">
        <v>85</v>
      </c>
      <c r="J4" t="s">
        <v>269</v>
      </c>
      <c r="K4" t="s">
        <v>270</v>
      </c>
      <c r="L4" t="s">
        <v>271</v>
      </c>
      <c r="M4" t="s">
        <v>272</v>
      </c>
      <c r="N4" t="s">
        <v>273</v>
      </c>
    </row>
    <row r="5" spans="1:26" ht="15.75" customHeight="1">
      <c r="A5" t="s">
        <v>19</v>
      </c>
      <c r="B5">
        <v>2</v>
      </c>
      <c r="C5" t="s">
        <v>18</v>
      </c>
      <c r="E5" s="34">
        <v>46055</v>
      </c>
      <c r="F5" s="34">
        <v>46055</v>
      </c>
      <c r="G5">
        <v>3</v>
      </c>
      <c r="H5" t="s">
        <v>268</v>
      </c>
      <c r="I5">
        <v>85</v>
      </c>
      <c r="J5" t="s">
        <v>269</v>
      </c>
      <c r="K5" t="s">
        <v>270</v>
      </c>
      <c r="L5" t="s">
        <v>271</v>
      </c>
      <c r="M5" t="s">
        <v>272</v>
      </c>
      <c r="N5" t="s">
        <v>273</v>
      </c>
    </row>
    <row r="6" spans="1:26" ht="15.75" customHeight="1">
      <c r="A6" t="s">
        <v>20</v>
      </c>
      <c r="B6">
        <v>5</v>
      </c>
      <c r="C6" t="s">
        <v>18</v>
      </c>
      <c r="E6" s="34">
        <v>46035</v>
      </c>
      <c r="F6" s="34">
        <v>46080</v>
      </c>
      <c r="G6">
        <v>2</v>
      </c>
      <c r="H6" t="s">
        <v>274</v>
      </c>
      <c r="I6">
        <v>65</v>
      </c>
      <c r="J6" t="s">
        <v>275</v>
      </c>
      <c r="K6" t="s">
        <v>276</v>
      </c>
      <c r="L6" t="s">
        <v>277</v>
      </c>
      <c r="M6" t="s">
        <v>278</v>
      </c>
      <c r="N6" t="s">
        <v>279</v>
      </c>
    </row>
    <row r="7" spans="1:26" ht="15.75" customHeight="1">
      <c r="A7" t="s">
        <v>21</v>
      </c>
      <c r="B7">
        <v>5</v>
      </c>
      <c r="C7" t="s">
        <v>22</v>
      </c>
      <c r="F7" s="34">
        <v>46043</v>
      </c>
      <c r="G7">
        <v>5</v>
      </c>
      <c r="H7">
        <v>300</v>
      </c>
      <c r="I7">
        <v>65</v>
      </c>
      <c r="J7" t="s">
        <v>280</v>
      </c>
      <c r="K7" t="s">
        <v>281</v>
      </c>
      <c r="L7" t="s">
        <v>282</v>
      </c>
      <c r="M7" t="s">
        <v>283</v>
      </c>
      <c r="N7" t="s">
        <v>284</v>
      </c>
    </row>
    <row r="8" spans="1:26" ht="15.75" customHeight="1">
      <c r="A8" t="s">
        <v>23</v>
      </c>
      <c r="B8">
        <v>2</v>
      </c>
      <c r="C8" t="s">
        <v>18</v>
      </c>
      <c r="E8" s="34">
        <v>46047</v>
      </c>
      <c r="F8" s="34">
        <v>46059</v>
      </c>
      <c r="G8">
        <v>2</v>
      </c>
      <c r="H8" t="s">
        <v>285</v>
      </c>
      <c r="I8">
        <v>85</v>
      </c>
      <c r="J8" t="s">
        <v>286</v>
      </c>
      <c r="K8" t="s">
        <v>287</v>
      </c>
      <c r="L8" t="s">
        <v>288</v>
      </c>
      <c r="M8" t="s">
        <v>289</v>
      </c>
      <c r="N8" t="s">
        <v>290</v>
      </c>
    </row>
    <row r="9" spans="1:26" ht="15.75" customHeight="1">
      <c r="A9" t="s">
        <v>24</v>
      </c>
      <c r="B9">
        <v>2</v>
      </c>
      <c r="C9" t="s">
        <v>18</v>
      </c>
      <c r="E9" s="34">
        <v>46089</v>
      </c>
      <c r="F9" s="34">
        <v>46101</v>
      </c>
      <c r="G9">
        <v>2</v>
      </c>
      <c r="H9" t="s">
        <v>291</v>
      </c>
      <c r="I9">
        <v>105</v>
      </c>
      <c r="J9" t="s">
        <v>292</v>
      </c>
      <c r="K9" t="s">
        <v>293</v>
      </c>
      <c r="L9" t="s">
        <v>294</v>
      </c>
      <c r="M9" t="s">
        <v>295</v>
      </c>
      <c r="N9" t="s">
        <v>296</v>
      </c>
    </row>
    <row r="10" spans="1:26" ht="15.75" customHeight="1">
      <c r="A10" t="s">
        <v>25</v>
      </c>
      <c r="B10">
        <v>5</v>
      </c>
      <c r="C10" t="s">
        <v>18</v>
      </c>
      <c r="E10" s="34">
        <v>46085</v>
      </c>
      <c r="F10" s="34">
        <v>46086</v>
      </c>
      <c r="G10">
        <v>3</v>
      </c>
      <c r="H10" t="s">
        <v>297</v>
      </c>
      <c r="I10">
        <v>65</v>
      </c>
      <c r="J10" t="s">
        <v>298</v>
      </c>
      <c r="K10" t="s">
        <v>299</v>
      </c>
      <c r="L10" t="s">
        <v>300</v>
      </c>
      <c r="M10" t="s">
        <v>301</v>
      </c>
      <c r="N10" t="s">
        <v>302</v>
      </c>
    </row>
    <row r="11" spans="1:26" ht="15.75" customHeight="1">
      <c r="A11" t="s">
        <v>26</v>
      </c>
      <c r="B11">
        <v>2</v>
      </c>
      <c r="C11" t="s">
        <v>22</v>
      </c>
      <c r="E11" s="34">
        <v>46060</v>
      </c>
      <c r="F11" s="34">
        <v>46074</v>
      </c>
      <c r="G11">
        <v>14</v>
      </c>
      <c r="H11">
        <v>890</v>
      </c>
      <c r="I11">
        <v>85</v>
      </c>
      <c r="J11" t="s">
        <v>303</v>
      </c>
      <c r="K11" t="s">
        <v>304</v>
      </c>
      <c r="L11" t="s">
        <v>305</v>
      </c>
      <c r="M11" t="s">
        <v>306</v>
      </c>
      <c r="N11" t="s">
        <v>307</v>
      </c>
    </row>
    <row r="12" spans="1:26" ht="15.75" customHeight="1">
      <c r="A12" t="s">
        <v>26</v>
      </c>
      <c r="B12">
        <v>4</v>
      </c>
      <c r="C12" t="s">
        <v>22</v>
      </c>
      <c r="E12" s="34">
        <v>46060</v>
      </c>
      <c r="F12" s="34">
        <v>46074</v>
      </c>
      <c r="G12">
        <v>14</v>
      </c>
      <c r="H12">
        <v>890</v>
      </c>
      <c r="I12">
        <v>85</v>
      </c>
      <c r="J12" t="s">
        <v>303</v>
      </c>
      <c r="K12" t="s">
        <v>304</v>
      </c>
      <c r="L12" t="s">
        <v>305</v>
      </c>
      <c r="M12" t="s">
        <v>306</v>
      </c>
      <c r="N12" t="s">
        <v>307</v>
      </c>
    </row>
    <row r="13" spans="1:26" ht="15.75" customHeight="1">
      <c r="A13" t="s">
        <v>27</v>
      </c>
      <c r="B13">
        <v>5</v>
      </c>
      <c r="C13" t="s">
        <v>28</v>
      </c>
      <c r="E13" s="34">
        <v>46074</v>
      </c>
      <c r="F13" s="34">
        <v>46077</v>
      </c>
      <c r="G13">
        <v>2</v>
      </c>
      <c r="H13">
        <v>185</v>
      </c>
      <c r="I13">
        <v>65</v>
      </c>
      <c r="J13" t="s">
        <v>308</v>
      </c>
      <c r="K13" t="s">
        <v>309</v>
      </c>
      <c r="L13" t="s">
        <v>310</v>
      </c>
      <c r="M13" t="s">
        <v>311</v>
      </c>
      <c r="N13" t="s">
        <v>312</v>
      </c>
    </row>
    <row r="14" spans="1:26" ht="15.75" customHeight="1">
      <c r="A14" t="s">
        <v>29</v>
      </c>
      <c r="B14">
        <v>4</v>
      </c>
      <c r="C14" t="s">
        <v>18</v>
      </c>
      <c r="E14" s="34">
        <v>46060</v>
      </c>
      <c r="F14" s="34">
        <v>46097</v>
      </c>
      <c r="G14">
        <v>10</v>
      </c>
      <c r="H14" t="s">
        <v>313</v>
      </c>
      <c r="I14">
        <v>85</v>
      </c>
      <c r="J14" t="s">
        <v>314</v>
      </c>
      <c r="K14" t="s">
        <v>315</v>
      </c>
      <c r="L14" t="s">
        <v>316</v>
      </c>
      <c r="M14" t="s">
        <v>317</v>
      </c>
      <c r="N14" t="s">
        <v>318</v>
      </c>
    </row>
    <row r="15" spans="1:26" ht="15.75" customHeight="1">
      <c r="A15" t="s">
        <v>30</v>
      </c>
      <c r="B15">
        <v>4</v>
      </c>
      <c r="C15" t="s">
        <v>18</v>
      </c>
      <c r="E15" s="34">
        <v>46056</v>
      </c>
      <c r="F15" s="34">
        <v>46111</v>
      </c>
      <c r="G15">
        <v>7</v>
      </c>
      <c r="H15" t="s">
        <v>319</v>
      </c>
      <c r="I15">
        <v>85</v>
      </c>
      <c r="J15" t="s">
        <v>320</v>
      </c>
      <c r="K15" t="s">
        <v>321</v>
      </c>
      <c r="L15" t="s">
        <v>322</v>
      </c>
      <c r="M15" t="s">
        <v>323</v>
      </c>
      <c r="N15" t="s">
        <v>324</v>
      </c>
    </row>
    <row r="16" spans="1:26" ht="15.75" customHeight="1">
      <c r="A16" t="s">
        <v>31</v>
      </c>
      <c r="B16">
        <v>2</v>
      </c>
      <c r="C16" t="s">
        <v>18</v>
      </c>
      <c r="E16" s="34">
        <v>46043</v>
      </c>
      <c r="F16" s="34">
        <v>46137</v>
      </c>
      <c r="G16">
        <v>8</v>
      </c>
      <c r="H16" t="s">
        <v>325</v>
      </c>
      <c r="I16">
        <v>85</v>
      </c>
      <c r="J16" t="s">
        <v>326</v>
      </c>
      <c r="K16" t="s">
        <v>327</v>
      </c>
      <c r="L16" t="s">
        <v>328</v>
      </c>
      <c r="M16" t="s">
        <v>329</v>
      </c>
      <c r="N16" t="s">
        <v>330</v>
      </c>
    </row>
    <row r="17" spans="1:14" ht="15.75" customHeight="1">
      <c r="A17" t="s">
        <v>32</v>
      </c>
      <c r="B17">
        <v>5</v>
      </c>
      <c r="C17" t="s">
        <v>22</v>
      </c>
      <c r="E17" s="34">
        <v>46082</v>
      </c>
      <c r="F17" s="34">
        <v>46112</v>
      </c>
      <c r="G17">
        <v>9</v>
      </c>
      <c r="H17">
        <v>715</v>
      </c>
      <c r="I17">
        <v>85</v>
      </c>
      <c r="J17" t="s">
        <v>331</v>
      </c>
      <c r="K17" t="s">
        <v>332</v>
      </c>
      <c r="L17" t="s">
        <v>333</v>
      </c>
      <c r="M17" t="s">
        <v>334</v>
      </c>
      <c r="N17" t="s">
        <v>335</v>
      </c>
    </row>
    <row r="18" spans="1:14" ht="15.75" customHeight="1">
      <c r="A18" t="s">
        <v>33</v>
      </c>
      <c r="B18">
        <v>2</v>
      </c>
      <c r="C18" t="s">
        <v>18</v>
      </c>
      <c r="E18" s="34">
        <v>46037</v>
      </c>
      <c r="F18" s="34">
        <v>46154</v>
      </c>
      <c r="G18">
        <v>6</v>
      </c>
      <c r="H18" t="s">
        <v>336</v>
      </c>
      <c r="I18">
        <v>120</v>
      </c>
      <c r="J18" t="s">
        <v>337</v>
      </c>
      <c r="K18" t="s">
        <v>338</v>
      </c>
      <c r="L18" t="s">
        <v>339</v>
      </c>
      <c r="M18" t="s">
        <v>340</v>
      </c>
      <c r="N18" t="s">
        <v>341</v>
      </c>
    </row>
    <row r="19" spans="1:14" ht="15.75" customHeight="1">
      <c r="A19" t="s">
        <v>34</v>
      </c>
      <c r="B19">
        <v>2</v>
      </c>
      <c r="C19" t="s">
        <v>18</v>
      </c>
      <c r="E19" s="34">
        <v>46046</v>
      </c>
      <c r="F19" s="34">
        <v>46118</v>
      </c>
      <c r="G19">
        <v>12</v>
      </c>
      <c r="H19" t="s">
        <v>342</v>
      </c>
      <c r="I19">
        <v>85</v>
      </c>
      <c r="J19" t="s">
        <v>343</v>
      </c>
      <c r="K19" t="s">
        <v>344</v>
      </c>
      <c r="L19" t="s">
        <v>345</v>
      </c>
      <c r="M19" t="s">
        <v>346</v>
      </c>
      <c r="N19" t="s">
        <v>347</v>
      </c>
    </row>
    <row r="20" spans="1:14" ht="15.75" customHeight="1">
      <c r="A20" t="s">
        <v>35</v>
      </c>
      <c r="B20">
        <v>2</v>
      </c>
      <c r="C20" t="s">
        <v>18</v>
      </c>
      <c r="E20" s="34">
        <v>46108</v>
      </c>
      <c r="F20" s="34">
        <v>46146</v>
      </c>
      <c r="G20">
        <v>5</v>
      </c>
      <c r="H20" t="s">
        <v>348</v>
      </c>
      <c r="I20">
        <v>105</v>
      </c>
      <c r="J20" t="s">
        <v>349</v>
      </c>
      <c r="K20" t="s">
        <v>350</v>
      </c>
      <c r="L20" t="s">
        <v>351</v>
      </c>
      <c r="M20" t="s">
        <v>352</v>
      </c>
      <c r="N20" t="s">
        <v>353</v>
      </c>
    </row>
    <row r="21" spans="1:14" ht="15.75" customHeight="1">
      <c r="A21" t="s">
        <v>36</v>
      </c>
      <c r="B21">
        <v>4</v>
      </c>
      <c r="C21" t="s">
        <v>18</v>
      </c>
      <c r="E21" s="34">
        <v>46119</v>
      </c>
      <c r="F21" s="34">
        <v>46119</v>
      </c>
      <c r="G21">
        <v>4</v>
      </c>
      <c r="H21" t="s">
        <v>354</v>
      </c>
      <c r="I21">
        <v>105</v>
      </c>
      <c r="J21" t="s">
        <v>355</v>
      </c>
      <c r="K21" t="s">
        <v>356</v>
      </c>
      <c r="L21" t="s">
        <v>357</v>
      </c>
      <c r="M21" t="s">
        <v>358</v>
      </c>
      <c r="N21" t="s">
        <v>359</v>
      </c>
    </row>
    <row r="22" spans="1:14" ht="15.75" customHeight="1">
      <c r="A22" t="s">
        <v>37</v>
      </c>
      <c r="B22">
        <v>5</v>
      </c>
      <c r="C22" t="s">
        <v>18</v>
      </c>
      <c r="E22" s="34">
        <v>46031</v>
      </c>
      <c r="F22" s="34">
        <v>46211</v>
      </c>
      <c r="G22">
        <v>14</v>
      </c>
      <c r="H22" t="s">
        <v>360</v>
      </c>
      <c r="I22">
        <v>65</v>
      </c>
      <c r="J22" t="s">
        <v>361</v>
      </c>
      <c r="K22" t="s">
        <v>362</v>
      </c>
      <c r="L22" t="s">
        <v>363</v>
      </c>
      <c r="M22" t="s">
        <v>364</v>
      </c>
      <c r="N22" t="s">
        <v>365</v>
      </c>
    </row>
    <row r="23" spans="1:14" ht="15.75" customHeight="1">
      <c r="A23" t="s">
        <v>38</v>
      </c>
      <c r="B23">
        <v>2</v>
      </c>
      <c r="C23" t="s">
        <v>18</v>
      </c>
      <c r="E23" s="34">
        <v>46070</v>
      </c>
      <c r="F23" s="34">
        <v>46172</v>
      </c>
      <c r="G23">
        <v>7</v>
      </c>
      <c r="H23" t="s">
        <v>366</v>
      </c>
      <c r="I23">
        <v>85</v>
      </c>
      <c r="J23" t="s">
        <v>367</v>
      </c>
      <c r="K23" t="s">
        <v>368</v>
      </c>
      <c r="L23" t="s">
        <v>369</v>
      </c>
      <c r="M23" t="s">
        <v>370</v>
      </c>
      <c r="N23" t="s">
        <v>371</v>
      </c>
    </row>
    <row r="24" spans="1:14" ht="15.75" customHeight="1">
      <c r="A24" t="s">
        <v>39</v>
      </c>
      <c r="B24">
        <v>2</v>
      </c>
      <c r="C24" t="s">
        <v>40</v>
      </c>
      <c r="E24" s="34">
        <v>46102</v>
      </c>
      <c r="F24" s="34">
        <v>46194</v>
      </c>
      <c r="G24">
        <v>7</v>
      </c>
      <c r="H24" s="5">
        <v>715</v>
      </c>
      <c r="I24">
        <v>85</v>
      </c>
      <c r="J24" t="s">
        <v>331</v>
      </c>
      <c r="K24" t="s">
        <v>332</v>
      </c>
      <c r="L24" t="s">
        <v>333</v>
      </c>
      <c r="M24" t="s">
        <v>334</v>
      </c>
      <c r="N24" t="s">
        <v>372</v>
      </c>
    </row>
    <row r="25" spans="1:14" ht="15.75" customHeight="1">
      <c r="A25" t="s">
        <v>41</v>
      </c>
      <c r="B25">
        <v>2</v>
      </c>
      <c r="C25" t="s">
        <v>18</v>
      </c>
      <c r="E25" s="34">
        <v>46125</v>
      </c>
      <c r="F25" s="34">
        <v>46164</v>
      </c>
      <c r="G25">
        <v>2</v>
      </c>
      <c r="H25" t="s">
        <v>373</v>
      </c>
      <c r="I25">
        <v>105</v>
      </c>
      <c r="J25" t="s">
        <v>374</v>
      </c>
      <c r="K25" t="s">
        <v>375</v>
      </c>
      <c r="L25" t="s">
        <v>376</v>
      </c>
      <c r="M25" t="s">
        <v>377</v>
      </c>
      <c r="N25" t="s">
        <v>378</v>
      </c>
    </row>
    <row r="26" spans="1:14" ht="15.75" customHeight="1">
      <c r="A26" t="s">
        <v>42</v>
      </c>
      <c r="B26">
        <v>2</v>
      </c>
      <c r="C26" t="s">
        <v>18</v>
      </c>
      <c r="E26" s="34">
        <v>46070</v>
      </c>
      <c r="F26" s="34">
        <v>46130</v>
      </c>
      <c r="G26">
        <v>4</v>
      </c>
      <c r="H26" t="s">
        <v>379</v>
      </c>
      <c r="I26">
        <v>85</v>
      </c>
      <c r="J26" t="s">
        <v>380</v>
      </c>
      <c r="K26" t="s">
        <v>381</v>
      </c>
      <c r="L26" t="s">
        <v>382</v>
      </c>
      <c r="M26" t="s">
        <v>383</v>
      </c>
      <c r="N26" t="s">
        <v>384</v>
      </c>
    </row>
    <row r="27" spans="1:14" ht="15.75" customHeight="1">
      <c r="A27" t="s">
        <v>43</v>
      </c>
      <c r="B27">
        <v>2</v>
      </c>
      <c r="C27" t="s">
        <v>40</v>
      </c>
      <c r="E27" s="34">
        <v>46102</v>
      </c>
      <c r="F27" s="34">
        <v>46229</v>
      </c>
      <c r="G27">
        <v>7</v>
      </c>
      <c r="H27">
        <v>780</v>
      </c>
      <c r="I27">
        <v>105</v>
      </c>
      <c r="J27">
        <v>162</v>
      </c>
      <c r="K27">
        <v>513</v>
      </c>
      <c r="L27">
        <v>267</v>
      </c>
      <c r="M27" t="s">
        <v>385</v>
      </c>
      <c r="N27" t="s">
        <v>386</v>
      </c>
    </row>
    <row r="28" spans="1:14" ht="15.75" customHeight="1">
      <c r="A28" t="s">
        <v>44</v>
      </c>
      <c r="B28">
        <v>2</v>
      </c>
      <c r="C28" t="s">
        <v>18</v>
      </c>
      <c r="E28" s="34">
        <v>46036</v>
      </c>
      <c r="F28" s="34">
        <v>46240</v>
      </c>
      <c r="G28">
        <v>9</v>
      </c>
      <c r="H28" t="s">
        <v>387</v>
      </c>
      <c r="I28">
        <v>120</v>
      </c>
      <c r="J28" t="s">
        <v>388</v>
      </c>
      <c r="K28" t="s">
        <v>389</v>
      </c>
      <c r="L28" t="s">
        <v>390</v>
      </c>
      <c r="M28" t="s">
        <v>391</v>
      </c>
      <c r="N28" t="s">
        <v>392</v>
      </c>
    </row>
    <row r="29" spans="1:14" ht="15.75" customHeight="1">
      <c r="A29" t="s">
        <v>43</v>
      </c>
      <c r="B29">
        <v>2</v>
      </c>
      <c r="C29" t="s">
        <v>40</v>
      </c>
      <c r="E29" s="34">
        <v>46102</v>
      </c>
      <c r="F29" s="34">
        <v>46180</v>
      </c>
      <c r="G29">
        <v>14</v>
      </c>
      <c r="H29" s="5">
        <v>1376</v>
      </c>
      <c r="I29">
        <v>105</v>
      </c>
      <c r="J29" t="s">
        <v>393</v>
      </c>
      <c r="K29" t="s">
        <v>394</v>
      </c>
      <c r="L29" t="s">
        <v>395</v>
      </c>
      <c r="M29" t="s">
        <v>396</v>
      </c>
      <c r="N29" t="s">
        <v>397</v>
      </c>
    </row>
    <row r="30" spans="1:14" ht="15.75" customHeight="1">
      <c r="A30" t="s">
        <v>43</v>
      </c>
      <c r="B30">
        <v>2</v>
      </c>
      <c r="C30" t="s">
        <v>40</v>
      </c>
      <c r="E30" s="34">
        <v>46102</v>
      </c>
      <c r="F30" s="35">
        <v>46222</v>
      </c>
      <c r="G30">
        <v>7</v>
      </c>
      <c r="H30">
        <v>890</v>
      </c>
      <c r="I30">
        <v>105</v>
      </c>
      <c r="J30" t="s">
        <v>398</v>
      </c>
      <c r="K30" t="s">
        <v>399</v>
      </c>
      <c r="L30" t="s">
        <v>400</v>
      </c>
      <c r="M30" t="s">
        <v>317</v>
      </c>
      <c r="N30" t="s">
        <v>401</v>
      </c>
    </row>
    <row r="31" spans="1:14" ht="15.75" customHeight="1">
      <c r="A31" t="s">
        <v>45</v>
      </c>
      <c r="B31">
        <v>5</v>
      </c>
      <c r="C31" t="s">
        <v>18</v>
      </c>
      <c r="E31" s="34">
        <v>46124</v>
      </c>
      <c r="F31" s="34">
        <v>46239</v>
      </c>
      <c r="G31">
        <v>11</v>
      </c>
      <c r="H31" t="s">
        <v>402</v>
      </c>
      <c r="I31">
        <v>85</v>
      </c>
      <c r="J31" t="s">
        <v>403</v>
      </c>
      <c r="K31" t="s">
        <v>404</v>
      </c>
      <c r="L31" t="s">
        <v>405</v>
      </c>
      <c r="M31" t="s">
        <v>406</v>
      </c>
      <c r="N31" t="s">
        <v>407</v>
      </c>
    </row>
    <row r="32" spans="1:14" ht="15.75" customHeight="1">
      <c r="A32" t="s">
        <v>46</v>
      </c>
      <c r="B32">
        <v>2</v>
      </c>
      <c r="C32" t="s">
        <v>18</v>
      </c>
      <c r="E32" s="34">
        <v>46097</v>
      </c>
      <c r="F32" s="34">
        <v>46214</v>
      </c>
      <c r="G32">
        <v>7</v>
      </c>
      <c r="H32" t="s">
        <v>408</v>
      </c>
      <c r="I32">
        <v>105</v>
      </c>
      <c r="J32" t="s">
        <v>409</v>
      </c>
      <c r="K32" t="s">
        <v>410</v>
      </c>
      <c r="L32" t="s">
        <v>411</v>
      </c>
      <c r="M32" t="s">
        <v>412</v>
      </c>
      <c r="N32" t="s">
        <v>413</v>
      </c>
    </row>
    <row r="33" spans="1:14" ht="15.75" customHeight="1">
      <c r="A33" t="s">
        <v>47</v>
      </c>
      <c r="B33">
        <v>2</v>
      </c>
      <c r="C33" t="s">
        <v>18</v>
      </c>
      <c r="E33" s="34">
        <v>46047</v>
      </c>
      <c r="F33" s="34">
        <v>46249</v>
      </c>
      <c r="G33">
        <v>5</v>
      </c>
      <c r="H33" t="s">
        <v>414</v>
      </c>
      <c r="I33">
        <v>85</v>
      </c>
      <c r="J33" t="s">
        <v>415</v>
      </c>
      <c r="K33" t="s">
        <v>416</v>
      </c>
      <c r="L33" t="s">
        <v>417</v>
      </c>
      <c r="M33" t="s">
        <v>418</v>
      </c>
      <c r="N33" t="s">
        <v>419</v>
      </c>
    </row>
    <row r="34" spans="1:14" ht="15.75" customHeight="1">
      <c r="A34" t="s">
        <v>48</v>
      </c>
      <c r="B34">
        <v>4</v>
      </c>
      <c r="C34" t="s">
        <v>18</v>
      </c>
      <c r="E34" s="34">
        <v>46099</v>
      </c>
      <c r="F34" s="34">
        <v>46211</v>
      </c>
      <c r="G34">
        <v>14</v>
      </c>
      <c r="H34" t="s">
        <v>420</v>
      </c>
      <c r="I34">
        <v>105</v>
      </c>
      <c r="J34" t="s">
        <v>421</v>
      </c>
      <c r="K34" t="s">
        <v>422</v>
      </c>
      <c r="L34" t="s">
        <v>423</v>
      </c>
      <c r="M34" t="s">
        <v>424</v>
      </c>
      <c r="N34" t="s">
        <v>425</v>
      </c>
    </row>
    <row r="35" spans="1:14" ht="15.75" customHeight="1">
      <c r="A35" t="s">
        <v>49</v>
      </c>
      <c r="B35">
        <v>0</v>
      </c>
      <c r="C35" t="s">
        <v>18</v>
      </c>
      <c r="E35" s="34">
        <v>46084</v>
      </c>
      <c r="F35" s="34">
        <v>46086</v>
      </c>
      <c r="G35">
        <v>4</v>
      </c>
      <c r="H35" t="s">
        <v>426</v>
      </c>
      <c r="I35">
        <v>85</v>
      </c>
      <c r="K35" t="s">
        <v>427</v>
      </c>
      <c r="L35">
        <v>85</v>
      </c>
      <c r="M35" t="s">
        <v>428</v>
      </c>
      <c r="N35" t="s">
        <v>429</v>
      </c>
    </row>
    <row r="36" spans="1:14" ht="15.75" customHeight="1">
      <c r="A36" t="s">
        <v>50</v>
      </c>
      <c r="B36">
        <v>0</v>
      </c>
      <c r="C36" t="s">
        <v>18</v>
      </c>
      <c r="E36" s="34">
        <v>46049</v>
      </c>
      <c r="F36" s="34">
        <v>46053</v>
      </c>
      <c r="G36">
        <v>1</v>
      </c>
      <c r="H36" t="s">
        <v>430</v>
      </c>
      <c r="I36">
        <v>80</v>
      </c>
      <c r="K36" t="s">
        <v>431</v>
      </c>
      <c r="L36">
        <v>80</v>
      </c>
      <c r="M36" t="s">
        <v>432</v>
      </c>
      <c r="N36" t="s">
        <v>431</v>
      </c>
    </row>
    <row r="37" spans="1:14" ht="15.75" customHeight="1">
      <c r="A37" t="s">
        <v>51</v>
      </c>
      <c r="B37">
        <v>0</v>
      </c>
      <c r="C37" t="s">
        <v>18</v>
      </c>
      <c r="E37" s="34">
        <v>46044</v>
      </c>
      <c r="F37" s="34">
        <v>46058</v>
      </c>
      <c r="G37">
        <v>1</v>
      </c>
      <c r="H37" t="s">
        <v>430</v>
      </c>
      <c r="I37">
        <v>80</v>
      </c>
      <c r="K37" t="s">
        <v>431</v>
      </c>
      <c r="L37">
        <v>80</v>
      </c>
      <c r="M37" t="s">
        <v>432</v>
      </c>
      <c r="N37" t="s">
        <v>431</v>
      </c>
    </row>
    <row r="38" spans="1:14" ht="15.75" customHeight="1">
      <c r="A38" t="s">
        <v>52</v>
      </c>
      <c r="B38">
        <v>0</v>
      </c>
      <c r="C38" t="s">
        <v>18</v>
      </c>
      <c r="E38" s="34">
        <v>46033</v>
      </c>
      <c r="F38" s="34">
        <v>46067</v>
      </c>
      <c r="G38">
        <v>1</v>
      </c>
      <c r="H38" t="s">
        <v>430</v>
      </c>
      <c r="I38">
        <v>80</v>
      </c>
      <c r="K38" t="s">
        <v>431</v>
      </c>
      <c r="L38">
        <v>80</v>
      </c>
      <c r="M38" t="s">
        <v>432</v>
      </c>
      <c r="N38" t="s">
        <v>431</v>
      </c>
    </row>
    <row r="39" spans="1:14" ht="15.75" customHeight="1">
      <c r="A39" t="s">
        <v>53</v>
      </c>
      <c r="B39">
        <v>0</v>
      </c>
      <c r="C39" t="s">
        <v>18</v>
      </c>
      <c r="E39" s="34">
        <v>46079</v>
      </c>
      <c r="F39" s="34">
        <v>46081</v>
      </c>
      <c r="G39">
        <v>1</v>
      </c>
      <c r="H39" t="s">
        <v>430</v>
      </c>
      <c r="I39">
        <v>80</v>
      </c>
      <c r="K39" t="s">
        <v>431</v>
      </c>
      <c r="L39">
        <v>80</v>
      </c>
      <c r="M39" t="s">
        <v>432</v>
      </c>
      <c r="N39" t="s">
        <v>431</v>
      </c>
    </row>
    <row r="40" spans="1:14" ht="15.75" customHeight="1">
      <c r="A40" t="s">
        <v>54</v>
      </c>
      <c r="B40">
        <v>4</v>
      </c>
      <c r="C40" t="s">
        <v>18</v>
      </c>
      <c r="E40" s="34">
        <v>46049</v>
      </c>
      <c r="F40" s="34">
        <v>46244</v>
      </c>
      <c r="G40">
        <v>3</v>
      </c>
      <c r="H40" t="s">
        <v>433</v>
      </c>
      <c r="I40">
        <v>85</v>
      </c>
      <c r="J40" t="s">
        <v>434</v>
      </c>
      <c r="K40" t="s">
        <v>435</v>
      </c>
      <c r="L40" t="s">
        <v>436</v>
      </c>
      <c r="M40" t="s">
        <v>437</v>
      </c>
      <c r="N40" t="s">
        <v>438</v>
      </c>
    </row>
    <row r="41" spans="1:14" ht="15.75" customHeight="1">
      <c r="A41" t="s">
        <v>49</v>
      </c>
      <c r="B41">
        <v>0</v>
      </c>
      <c r="C41" t="s">
        <v>18</v>
      </c>
      <c r="E41" s="34">
        <v>46122</v>
      </c>
      <c r="F41" s="34">
        <v>46125</v>
      </c>
      <c r="G41">
        <v>4</v>
      </c>
      <c r="H41" t="s">
        <v>439</v>
      </c>
      <c r="I41">
        <v>80</v>
      </c>
      <c r="K41" t="s">
        <v>440</v>
      </c>
      <c r="L41">
        <v>80</v>
      </c>
      <c r="M41" t="s">
        <v>441</v>
      </c>
      <c r="N41" t="s">
        <v>442</v>
      </c>
    </row>
    <row r="42" spans="1:14" ht="15.75" customHeight="1">
      <c r="A42" t="s">
        <v>49</v>
      </c>
      <c r="B42">
        <v>0</v>
      </c>
      <c r="C42" t="s">
        <v>18</v>
      </c>
      <c r="E42" s="34">
        <v>46126</v>
      </c>
      <c r="F42" s="34">
        <v>46132</v>
      </c>
      <c r="G42">
        <v>4</v>
      </c>
      <c r="H42" t="s">
        <v>439</v>
      </c>
      <c r="I42">
        <v>80</v>
      </c>
      <c r="K42" t="s">
        <v>440</v>
      </c>
      <c r="L42">
        <v>80</v>
      </c>
      <c r="M42" t="s">
        <v>441</v>
      </c>
      <c r="N42" t="s">
        <v>442</v>
      </c>
    </row>
    <row r="43" spans="1:14" ht="15.75" customHeight="1">
      <c r="A43" t="s">
        <v>49</v>
      </c>
      <c r="B43">
        <v>0</v>
      </c>
      <c r="C43" t="s">
        <v>18</v>
      </c>
      <c r="E43" s="34">
        <v>46113</v>
      </c>
      <c r="F43" s="34">
        <v>46119</v>
      </c>
      <c r="G43">
        <v>3</v>
      </c>
      <c r="H43" t="s">
        <v>443</v>
      </c>
      <c r="I43">
        <v>80</v>
      </c>
      <c r="K43" t="s">
        <v>444</v>
      </c>
      <c r="L43">
        <v>80</v>
      </c>
      <c r="M43" t="s">
        <v>445</v>
      </c>
      <c r="N43" t="s">
        <v>446</v>
      </c>
    </row>
    <row r="44" spans="1:14" ht="15.75" customHeight="1">
      <c r="A44" t="s">
        <v>34</v>
      </c>
      <c r="B44">
        <v>0</v>
      </c>
      <c r="C44" t="s">
        <v>18</v>
      </c>
      <c r="E44" s="34">
        <v>46067</v>
      </c>
      <c r="F44" s="34">
        <v>46230</v>
      </c>
      <c r="G44">
        <v>8</v>
      </c>
      <c r="H44" t="s">
        <v>447</v>
      </c>
      <c r="I44">
        <v>120</v>
      </c>
      <c r="K44" t="s">
        <v>448</v>
      </c>
      <c r="L44">
        <v>120</v>
      </c>
      <c r="M44" t="s">
        <v>449</v>
      </c>
      <c r="N44" t="s">
        <v>450</v>
      </c>
    </row>
    <row r="45" spans="1:14" ht="15.75" customHeight="1">
      <c r="A45" t="s">
        <v>55</v>
      </c>
      <c r="B45">
        <v>0</v>
      </c>
      <c r="C45" t="s">
        <v>56</v>
      </c>
      <c r="E45" s="34">
        <v>46096</v>
      </c>
      <c r="F45" s="34">
        <v>46150</v>
      </c>
      <c r="G45">
        <v>2</v>
      </c>
      <c r="H45" t="s">
        <v>451</v>
      </c>
      <c r="I45">
        <v>120</v>
      </c>
      <c r="K45" t="s">
        <v>452</v>
      </c>
      <c r="L45">
        <v>120</v>
      </c>
      <c r="M45" t="s">
        <v>453</v>
      </c>
      <c r="N45" t="s">
        <v>454</v>
      </c>
    </row>
    <row r="46" spans="1:14" ht="15.75" customHeight="1">
      <c r="A46" t="s">
        <v>57</v>
      </c>
      <c r="B46">
        <v>0</v>
      </c>
      <c r="C46" t="s">
        <v>18</v>
      </c>
      <c r="E46" s="34">
        <v>46021</v>
      </c>
      <c r="F46" s="34">
        <v>46206</v>
      </c>
      <c r="G46">
        <v>2</v>
      </c>
      <c r="H46" t="s">
        <v>451</v>
      </c>
      <c r="I46">
        <v>120</v>
      </c>
      <c r="K46" t="s">
        <v>452</v>
      </c>
      <c r="L46">
        <v>120</v>
      </c>
      <c r="M46" t="s">
        <v>453</v>
      </c>
      <c r="N46" t="s">
        <v>454</v>
      </c>
    </row>
    <row r="47" spans="1:14" ht="15.75" customHeight="1">
      <c r="A47" t="s">
        <v>58</v>
      </c>
      <c r="B47">
        <v>0</v>
      </c>
      <c r="C47" t="s">
        <v>18</v>
      </c>
      <c r="E47" s="34">
        <v>46070</v>
      </c>
      <c r="F47" s="34">
        <v>46242</v>
      </c>
      <c r="G47">
        <v>7</v>
      </c>
      <c r="H47" t="s">
        <v>455</v>
      </c>
      <c r="I47">
        <v>120</v>
      </c>
      <c r="K47" t="s">
        <v>456</v>
      </c>
      <c r="L47">
        <v>120</v>
      </c>
      <c r="M47" t="s">
        <v>457</v>
      </c>
      <c r="N47" t="s">
        <v>458</v>
      </c>
    </row>
    <row r="48" spans="1:14" ht="15.75" customHeight="1">
      <c r="A48" t="s">
        <v>59</v>
      </c>
      <c r="B48">
        <v>0</v>
      </c>
      <c r="C48" t="s">
        <v>18</v>
      </c>
      <c r="E48" s="34">
        <v>46092</v>
      </c>
      <c r="F48" s="34">
        <v>46116</v>
      </c>
      <c r="G48">
        <v>2</v>
      </c>
      <c r="H48" t="s">
        <v>459</v>
      </c>
      <c r="I48">
        <v>85</v>
      </c>
      <c r="K48" t="s">
        <v>460</v>
      </c>
      <c r="L48">
        <v>85</v>
      </c>
      <c r="M48" t="s">
        <v>461</v>
      </c>
      <c r="N48" t="s">
        <v>462</v>
      </c>
    </row>
    <row r="49" spans="1:14" ht="15.75" customHeight="1">
      <c r="A49" t="s">
        <v>60</v>
      </c>
      <c r="B49">
        <v>0</v>
      </c>
      <c r="C49" t="s">
        <v>28</v>
      </c>
      <c r="E49" s="34">
        <v>46027</v>
      </c>
      <c r="F49" s="34">
        <v>46143</v>
      </c>
      <c r="G49">
        <v>2</v>
      </c>
      <c r="H49" t="s">
        <v>463</v>
      </c>
      <c r="I49">
        <v>120</v>
      </c>
      <c r="K49" t="s">
        <v>464</v>
      </c>
      <c r="L49">
        <v>120</v>
      </c>
      <c r="M49" t="s">
        <v>465</v>
      </c>
      <c r="N49" t="s">
        <v>466</v>
      </c>
    </row>
    <row r="50" spans="1:14" ht="15.75" customHeight="1">
      <c r="A50" t="s">
        <v>35</v>
      </c>
      <c r="B50">
        <v>0</v>
      </c>
      <c r="C50" t="s">
        <v>56</v>
      </c>
      <c r="E50" s="34">
        <v>46068</v>
      </c>
      <c r="F50" s="34">
        <v>46165</v>
      </c>
      <c r="G50">
        <v>2</v>
      </c>
      <c r="H50" t="s">
        <v>467</v>
      </c>
      <c r="I50">
        <v>80</v>
      </c>
      <c r="K50" t="s">
        <v>468</v>
      </c>
      <c r="L50">
        <v>80</v>
      </c>
      <c r="M50" t="s">
        <v>469</v>
      </c>
      <c r="N50" t="s">
        <v>470</v>
      </c>
    </row>
    <row r="51" spans="1:14" ht="15.75" customHeight="1">
      <c r="A51" t="s">
        <v>61</v>
      </c>
      <c r="B51">
        <v>0</v>
      </c>
      <c r="C51" t="s">
        <v>56</v>
      </c>
      <c r="E51" s="34">
        <v>46068</v>
      </c>
      <c r="F51" s="34">
        <v>46155</v>
      </c>
      <c r="G51">
        <v>4</v>
      </c>
      <c r="H51" t="s">
        <v>471</v>
      </c>
      <c r="I51">
        <v>80</v>
      </c>
      <c r="K51" t="s">
        <v>472</v>
      </c>
      <c r="L51">
        <v>80</v>
      </c>
      <c r="M51" t="s">
        <v>473</v>
      </c>
      <c r="N51" t="s">
        <v>474</v>
      </c>
    </row>
    <row r="52" spans="1:14" ht="15.75" customHeight="1">
      <c r="A52" t="s">
        <v>62</v>
      </c>
      <c r="B52">
        <v>2</v>
      </c>
      <c r="C52" t="s">
        <v>18</v>
      </c>
      <c r="E52" s="34">
        <v>46134</v>
      </c>
      <c r="F52" s="34">
        <v>46237</v>
      </c>
      <c r="G52">
        <v>3</v>
      </c>
      <c r="H52" t="s">
        <v>475</v>
      </c>
      <c r="I52">
        <v>105</v>
      </c>
      <c r="J52" t="s">
        <v>476</v>
      </c>
      <c r="K52" t="s">
        <v>477</v>
      </c>
      <c r="L52" t="s">
        <v>478</v>
      </c>
      <c r="M52" t="s">
        <v>479</v>
      </c>
      <c r="N52" t="s">
        <v>480</v>
      </c>
    </row>
    <row r="53" spans="1:14" ht="15.75" customHeight="1">
      <c r="A53" t="s">
        <v>63</v>
      </c>
      <c r="B53">
        <v>4</v>
      </c>
      <c r="C53" t="s">
        <v>18</v>
      </c>
      <c r="E53" s="34">
        <v>46132</v>
      </c>
      <c r="F53" s="34">
        <v>46133</v>
      </c>
      <c r="G53">
        <v>3</v>
      </c>
      <c r="H53" t="s">
        <v>481</v>
      </c>
      <c r="I53">
        <v>105</v>
      </c>
      <c r="J53" t="s">
        <v>482</v>
      </c>
      <c r="K53" t="s">
        <v>483</v>
      </c>
      <c r="L53" t="s">
        <v>484</v>
      </c>
      <c r="M53" t="s">
        <v>485</v>
      </c>
      <c r="N53" t="s">
        <v>486</v>
      </c>
    </row>
    <row r="54" spans="1:14" ht="15.75" customHeight="1">
      <c r="A54" t="s">
        <v>64</v>
      </c>
      <c r="B54">
        <v>2</v>
      </c>
      <c r="C54" t="s">
        <v>18</v>
      </c>
      <c r="E54" s="34">
        <v>46131</v>
      </c>
      <c r="F54" s="34">
        <v>46134</v>
      </c>
      <c r="G54">
        <v>2</v>
      </c>
      <c r="H54" t="s">
        <v>487</v>
      </c>
      <c r="I54">
        <v>105</v>
      </c>
      <c r="J54" t="s">
        <v>488</v>
      </c>
      <c r="K54" t="s">
        <v>489</v>
      </c>
      <c r="L54" t="s">
        <v>490</v>
      </c>
      <c r="M54" t="s">
        <v>491</v>
      </c>
      <c r="N54" t="s">
        <v>492</v>
      </c>
    </row>
    <row r="55" spans="1:14" ht="15.75" customHeight="1">
      <c r="A55" t="s">
        <v>65</v>
      </c>
      <c r="B55">
        <v>0</v>
      </c>
      <c r="C55" t="s">
        <v>18</v>
      </c>
      <c r="E55" s="34">
        <v>46128</v>
      </c>
      <c r="F55" s="34">
        <v>46214</v>
      </c>
      <c r="G55">
        <v>7</v>
      </c>
      <c r="H55" t="s">
        <v>493</v>
      </c>
      <c r="I55">
        <v>120</v>
      </c>
      <c r="K55" t="s">
        <v>494</v>
      </c>
      <c r="L55">
        <v>120</v>
      </c>
      <c r="M55" t="s">
        <v>495</v>
      </c>
      <c r="N55" t="s">
        <v>496</v>
      </c>
    </row>
    <row r="56" spans="1:14" ht="15.75" customHeight="1">
      <c r="A56" t="s">
        <v>66</v>
      </c>
      <c r="B56">
        <v>0</v>
      </c>
      <c r="C56" t="s">
        <v>56</v>
      </c>
      <c r="E56" s="34">
        <v>46132</v>
      </c>
      <c r="F56" s="34">
        <v>46223</v>
      </c>
      <c r="G56">
        <v>6</v>
      </c>
      <c r="H56" t="s">
        <v>497</v>
      </c>
      <c r="I56">
        <v>120</v>
      </c>
      <c r="K56" t="s">
        <v>498</v>
      </c>
      <c r="L56">
        <v>120</v>
      </c>
      <c r="M56" t="s">
        <v>499</v>
      </c>
      <c r="N56" t="s">
        <v>500</v>
      </c>
    </row>
    <row r="57" spans="1:14" ht="15.75" customHeight="1">
      <c r="A57" t="s">
        <v>49</v>
      </c>
      <c r="B57">
        <v>0</v>
      </c>
      <c r="C57" t="s">
        <v>18</v>
      </c>
      <c r="E57" s="34">
        <v>46134</v>
      </c>
      <c r="F57" s="34">
        <v>46139</v>
      </c>
      <c r="G57">
        <v>3</v>
      </c>
      <c r="H57" t="s">
        <v>501</v>
      </c>
      <c r="I57">
        <v>80</v>
      </c>
      <c r="K57" t="s">
        <v>502</v>
      </c>
      <c r="L57">
        <v>80</v>
      </c>
      <c r="M57" t="s">
        <v>503</v>
      </c>
      <c r="N57" t="s">
        <v>504</v>
      </c>
    </row>
    <row r="58" spans="1:14" ht="15.75" customHeight="1">
      <c r="A58" t="s">
        <v>49</v>
      </c>
      <c r="B58">
        <v>0</v>
      </c>
      <c r="C58" t="s">
        <v>67</v>
      </c>
      <c r="E58" s="34">
        <v>46142</v>
      </c>
      <c r="F58" s="34">
        <v>46146</v>
      </c>
      <c r="G58">
        <v>3</v>
      </c>
      <c r="H58" t="s">
        <v>501</v>
      </c>
      <c r="I58">
        <v>80</v>
      </c>
      <c r="K58" t="s">
        <v>502</v>
      </c>
      <c r="L58">
        <v>80</v>
      </c>
      <c r="M58" t="s">
        <v>503</v>
      </c>
      <c r="N58" t="s">
        <v>504</v>
      </c>
    </row>
    <row r="59" spans="1:14" ht="15.75" customHeight="1">
      <c r="A59" t="s">
        <v>68</v>
      </c>
      <c r="B59">
        <v>0</v>
      </c>
      <c r="C59" t="s">
        <v>18</v>
      </c>
      <c r="E59" s="34">
        <v>46145</v>
      </c>
      <c r="F59" s="34">
        <v>46251</v>
      </c>
      <c r="G59">
        <v>6</v>
      </c>
      <c r="H59" t="s">
        <v>505</v>
      </c>
      <c r="I59">
        <v>120</v>
      </c>
      <c r="K59" t="s">
        <v>506</v>
      </c>
      <c r="L59">
        <v>120</v>
      </c>
      <c r="M59" t="s">
        <v>507</v>
      </c>
      <c r="N59" t="s">
        <v>508</v>
      </c>
    </row>
    <row r="60" spans="1:14" ht="15.75" customHeight="1">
      <c r="A60" s="5" t="s">
        <v>69</v>
      </c>
      <c r="B60">
        <v>5</v>
      </c>
      <c r="C60" t="s">
        <v>18</v>
      </c>
      <c r="E60" s="34">
        <v>46150</v>
      </c>
      <c r="F60" s="34">
        <v>46150</v>
      </c>
      <c r="G60">
        <v>2</v>
      </c>
      <c r="H60" t="s">
        <v>509</v>
      </c>
      <c r="I60">
        <v>65</v>
      </c>
      <c r="J60" t="s">
        <v>510</v>
      </c>
      <c r="K60" t="s">
        <v>511</v>
      </c>
      <c r="L60" t="s">
        <v>512</v>
      </c>
      <c r="M60" t="s">
        <v>513</v>
      </c>
      <c r="N60" t="s">
        <v>514</v>
      </c>
    </row>
    <row r="61" spans="1:14" ht="15.75" customHeight="1">
      <c r="A61" t="s">
        <v>70</v>
      </c>
      <c r="B61">
        <v>4</v>
      </c>
      <c r="C61" t="s">
        <v>18</v>
      </c>
      <c r="E61" s="34">
        <v>46150</v>
      </c>
      <c r="F61" s="34">
        <v>46156</v>
      </c>
      <c r="G61">
        <v>3</v>
      </c>
      <c r="H61" t="s">
        <v>515</v>
      </c>
      <c r="I61">
        <v>105</v>
      </c>
      <c r="J61" t="s">
        <v>516</v>
      </c>
      <c r="K61" t="s">
        <v>517</v>
      </c>
    </row>
    <row r="62" spans="1:14" ht="15.75" customHeight="1">
      <c r="A62" t="s">
        <v>71</v>
      </c>
      <c r="B62">
        <v>5</v>
      </c>
      <c r="C62" t="s">
        <v>18</v>
      </c>
      <c r="E62" s="34">
        <v>46150</v>
      </c>
      <c r="F62" s="34">
        <v>46186</v>
      </c>
      <c r="G62">
        <v>7</v>
      </c>
      <c r="H62" t="s">
        <v>518</v>
      </c>
      <c r="I62">
        <v>85</v>
      </c>
      <c r="J62" t="s">
        <v>519</v>
      </c>
      <c r="K62" t="s">
        <v>520</v>
      </c>
      <c r="L62" t="s">
        <v>521</v>
      </c>
      <c r="M62" t="s">
        <v>522</v>
      </c>
      <c r="N62" t="s">
        <v>523</v>
      </c>
    </row>
    <row r="63" spans="1:14" ht="15.75" customHeight="1">
      <c r="A63" t="s">
        <v>72</v>
      </c>
      <c r="B63">
        <v>5</v>
      </c>
      <c r="C63" t="s">
        <v>18</v>
      </c>
      <c r="E63" s="34">
        <v>46152</v>
      </c>
      <c r="F63" s="34">
        <v>46225</v>
      </c>
      <c r="G63">
        <v>12</v>
      </c>
      <c r="H63" t="s">
        <v>524</v>
      </c>
      <c r="I63">
        <v>85</v>
      </c>
      <c r="J63" t="s">
        <v>525</v>
      </c>
      <c r="K63" t="s">
        <v>526</v>
      </c>
      <c r="L63" t="s">
        <v>527</v>
      </c>
      <c r="M63" t="s">
        <v>528</v>
      </c>
      <c r="N63" t="s">
        <v>529</v>
      </c>
    </row>
    <row r="64" spans="1:14" ht="15.75" customHeight="1">
      <c r="A64" t="s">
        <v>73</v>
      </c>
      <c r="B64">
        <v>4</v>
      </c>
      <c r="C64" t="s">
        <v>18</v>
      </c>
      <c r="E64" s="34">
        <v>46152</v>
      </c>
      <c r="F64" s="34">
        <v>46233</v>
      </c>
      <c r="G64">
        <v>8</v>
      </c>
      <c r="H64" t="s">
        <v>530</v>
      </c>
      <c r="I64">
        <v>105</v>
      </c>
      <c r="J64" t="s">
        <v>531</v>
      </c>
      <c r="K64" t="s">
        <v>532</v>
      </c>
      <c r="L64" t="s">
        <v>533</v>
      </c>
      <c r="M64" t="s">
        <v>534</v>
      </c>
      <c r="N64" t="s">
        <v>535</v>
      </c>
    </row>
    <row r="65" spans="1:14" ht="15.75" customHeight="1">
      <c r="A65" t="s">
        <v>74</v>
      </c>
      <c r="B65">
        <v>4</v>
      </c>
      <c r="C65" t="s">
        <v>18</v>
      </c>
      <c r="E65" s="34">
        <v>46159</v>
      </c>
      <c r="F65" s="34">
        <v>46225</v>
      </c>
      <c r="G65">
        <v>8</v>
      </c>
      <c r="H65" t="s">
        <v>536</v>
      </c>
      <c r="I65">
        <v>105</v>
      </c>
      <c r="J65" t="s">
        <v>537</v>
      </c>
      <c r="K65" t="s">
        <v>538</v>
      </c>
      <c r="L65" t="s">
        <v>539</v>
      </c>
      <c r="M65" t="s">
        <v>540</v>
      </c>
      <c r="N65" t="s">
        <v>541</v>
      </c>
    </row>
    <row r="66" spans="1:14" ht="15.75" customHeight="1">
      <c r="A66" t="s">
        <v>71</v>
      </c>
      <c r="B66">
        <v>4</v>
      </c>
      <c r="C66" t="s">
        <v>18</v>
      </c>
      <c r="E66" s="34">
        <v>46161</v>
      </c>
      <c r="F66" s="34">
        <v>46165</v>
      </c>
      <c r="G66">
        <v>2</v>
      </c>
      <c r="H66" t="s">
        <v>542</v>
      </c>
      <c r="I66">
        <v>105</v>
      </c>
      <c r="J66" t="s">
        <v>543</v>
      </c>
      <c r="K66" t="s">
        <v>544</v>
      </c>
      <c r="L66" t="s">
        <v>545</v>
      </c>
      <c r="M66" t="s">
        <v>546</v>
      </c>
      <c r="N66" t="s">
        <v>547</v>
      </c>
    </row>
    <row r="67" spans="1:14" ht="15.75" customHeight="1">
      <c r="A67" t="s">
        <v>548</v>
      </c>
      <c r="B67">
        <v>2</v>
      </c>
      <c r="C67" t="s">
        <v>18</v>
      </c>
      <c r="E67" s="34">
        <v>46162</v>
      </c>
      <c r="F67" s="34">
        <v>46167</v>
      </c>
      <c r="G67">
        <v>2</v>
      </c>
      <c r="H67" t="s">
        <v>549</v>
      </c>
      <c r="I67">
        <v>105</v>
      </c>
      <c r="J67" t="s">
        <v>550</v>
      </c>
      <c r="K67" t="s">
        <v>551</v>
      </c>
      <c r="L67" t="s">
        <v>552</v>
      </c>
      <c r="M67" t="s">
        <v>553</v>
      </c>
      <c r="N67" t="s">
        <v>554</v>
      </c>
    </row>
    <row r="68" spans="1:14" ht="15.75" customHeight="1">
      <c r="A68" s="5" t="s">
        <v>75</v>
      </c>
      <c r="B68" s="5">
        <v>5</v>
      </c>
      <c r="C68" t="s">
        <v>18</v>
      </c>
      <c r="E68" s="35">
        <v>46165</v>
      </c>
      <c r="F68" s="35">
        <v>46165</v>
      </c>
      <c r="G68" s="5">
        <v>3</v>
      </c>
      <c r="H68" s="5" t="s">
        <v>555</v>
      </c>
      <c r="I68" s="5">
        <v>65</v>
      </c>
      <c r="J68" t="s">
        <v>556</v>
      </c>
      <c r="K68" t="s">
        <v>557</v>
      </c>
      <c r="L68" t="s">
        <v>558</v>
      </c>
      <c r="M68" t="s">
        <v>559</v>
      </c>
      <c r="N68" t="s">
        <v>560</v>
      </c>
    </row>
    <row r="69" spans="1:14" ht="15.75" customHeight="1">
      <c r="A69" s="5" t="s">
        <v>561</v>
      </c>
      <c r="B69" s="5">
        <v>2</v>
      </c>
      <c r="C69" t="s">
        <v>18</v>
      </c>
      <c r="E69" s="35">
        <v>46174</v>
      </c>
      <c r="F69" s="35">
        <v>46285</v>
      </c>
      <c r="G69" s="5">
        <v>3</v>
      </c>
      <c r="H69" s="5" t="s">
        <v>562</v>
      </c>
      <c r="I69" s="5">
        <v>65</v>
      </c>
      <c r="J69" t="s">
        <v>563</v>
      </c>
      <c r="K69" t="s">
        <v>564</v>
      </c>
    </row>
    <row r="70" spans="1:14" ht="15.75" customHeight="1">
      <c r="C70" s="4"/>
      <c r="N70" s="3"/>
    </row>
    <row r="71" spans="1:14" ht="15.75" customHeight="1">
      <c r="C71" s="4"/>
      <c r="N71" s="3"/>
    </row>
    <row r="72" spans="1:14" ht="15.75" customHeight="1">
      <c r="C72" s="4"/>
      <c r="N72" s="3"/>
    </row>
    <row r="73" spans="1:14" ht="15.75" customHeight="1">
      <c r="C73" s="4"/>
      <c r="N73" s="3"/>
    </row>
    <row r="74" spans="1:14" ht="15.75" customHeight="1">
      <c r="C74" s="4"/>
      <c r="N74" s="3"/>
    </row>
    <row r="75" spans="1:14" ht="15.75" customHeight="1">
      <c r="C75" s="4"/>
      <c r="N75" s="3"/>
    </row>
    <row r="76" spans="1:14" ht="15.75" customHeight="1">
      <c r="C76" s="4"/>
      <c r="N76" s="3"/>
    </row>
    <row r="77" spans="1:14" ht="15.75" customHeight="1">
      <c r="C77" s="4"/>
      <c r="N77" s="3"/>
    </row>
    <row r="78" spans="1:14" ht="15.75" customHeight="1">
      <c r="C78" s="4"/>
      <c r="N78" s="3"/>
    </row>
    <row r="79" spans="1:14" ht="15.75" customHeight="1">
      <c r="C79" s="4"/>
      <c r="N79" s="3"/>
    </row>
    <row r="80" spans="1:14" ht="15.75" customHeight="1">
      <c r="C80" s="4"/>
      <c r="N80" s="3"/>
    </row>
    <row r="81" spans="3:14" ht="15.75" customHeight="1">
      <c r="C81" s="4"/>
      <c r="N81" s="3"/>
    </row>
    <row r="82" spans="3:14" ht="15.75" customHeight="1">
      <c r="C82" s="4"/>
      <c r="N82" s="3"/>
    </row>
    <row r="83" spans="3:14" ht="15.75" customHeight="1">
      <c r="C83" s="4"/>
      <c r="N83" s="3"/>
    </row>
    <row r="84" spans="3:14" ht="15.75" customHeight="1">
      <c r="C84" s="4"/>
      <c r="N84" s="3"/>
    </row>
    <row r="85" spans="3:14" ht="15.75" customHeight="1">
      <c r="C85" s="4"/>
      <c r="N85" s="3"/>
    </row>
    <row r="86" spans="3:14" ht="15.75" customHeight="1">
      <c r="C86" s="4"/>
      <c r="N86" s="3"/>
    </row>
    <row r="87" spans="3:14" ht="15.75" customHeight="1">
      <c r="C87" s="4"/>
      <c r="N87" s="3"/>
    </row>
    <row r="88" spans="3:14" ht="15.75" customHeight="1">
      <c r="C88" s="4"/>
      <c r="N88" s="3"/>
    </row>
    <row r="89" spans="3:14" ht="15.75" customHeight="1">
      <c r="C89" s="4"/>
      <c r="N89" s="3"/>
    </row>
    <row r="90" spans="3:14" ht="15.75" customHeight="1">
      <c r="C90" s="4"/>
      <c r="N90" s="3"/>
    </row>
    <row r="91" spans="3:14" ht="15.75" customHeight="1">
      <c r="C91" s="4"/>
      <c r="N91" s="3"/>
    </row>
    <row r="92" spans="3:14" ht="15.75" customHeight="1">
      <c r="C92" s="4"/>
      <c r="N92" s="3"/>
    </row>
    <row r="93" spans="3:14" ht="15.75" customHeight="1">
      <c r="C93" s="4"/>
      <c r="N93" s="3"/>
    </row>
    <row r="94" spans="3:14" ht="15.75" customHeight="1">
      <c r="C94" s="4"/>
      <c r="N94" s="3"/>
    </row>
    <row r="95" spans="3:14" ht="15.75" customHeight="1">
      <c r="C95" s="4"/>
      <c r="N95" s="3"/>
    </row>
    <row r="96" spans="3:14" ht="15.75" customHeight="1">
      <c r="C96" s="4"/>
      <c r="N96" s="3"/>
    </row>
    <row r="97" spans="3:14" ht="15.75" customHeight="1">
      <c r="C97" s="4"/>
      <c r="N97" s="3"/>
    </row>
    <row r="98" spans="3:14" ht="15.75" customHeight="1">
      <c r="C98" s="4"/>
      <c r="N98" s="3"/>
    </row>
    <row r="99" spans="3:14" ht="15.75" customHeight="1">
      <c r="C99" s="4"/>
      <c r="N99" s="3"/>
    </row>
    <row r="100" spans="3:14" ht="15.75" customHeight="1">
      <c r="C100" s="4"/>
      <c r="N100" s="3"/>
    </row>
    <row r="101" spans="3:14" ht="15.75" customHeight="1">
      <c r="C101" s="4"/>
      <c r="N101" s="3"/>
    </row>
    <row r="102" spans="3:14" ht="15.75" customHeight="1">
      <c r="C102" s="4"/>
      <c r="N102" s="3"/>
    </row>
    <row r="103" spans="3:14" ht="15.75" customHeight="1">
      <c r="C103" s="4"/>
      <c r="N103" s="3"/>
    </row>
    <row r="104" spans="3:14" ht="15.75" customHeight="1">
      <c r="C104" s="4"/>
      <c r="N104" s="3"/>
    </row>
    <row r="105" spans="3:14" ht="15.75" customHeight="1">
      <c r="C105" s="4"/>
      <c r="N105" s="3"/>
    </row>
    <row r="106" spans="3:14" ht="15.75" customHeight="1">
      <c r="C106" s="4"/>
      <c r="N106" s="3"/>
    </row>
    <row r="107" spans="3:14" ht="15.75" customHeight="1">
      <c r="C107" s="4"/>
      <c r="N107" s="3"/>
    </row>
    <row r="108" spans="3:14" ht="15.75" customHeight="1">
      <c r="C108" s="4"/>
      <c r="N108" s="3"/>
    </row>
    <row r="109" spans="3:14" ht="15.75" customHeight="1">
      <c r="C109" s="4"/>
      <c r="N109" s="3"/>
    </row>
    <row r="110" spans="3:14" ht="15.75" customHeight="1">
      <c r="C110" s="4"/>
      <c r="N110" s="3"/>
    </row>
    <row r="111" spans="3:14" ht="15.75" customHeight="1">
      <c r="C111" s="4"/>
      <c r="N111" s="3"/>
    </row>
    <row r="112" spans="3:14" ht="15.75" customHeight="1">
      <c r="C112" s="4"/>
      <c r="N112" s="3"/>
    </row>
    <row r="113" spans="3:14" ht="15.75" customHeight="1">
      <c r="C113" s="4"/>
      <c r="N113" s="3"/>
    </row>
    <row r="114" spans="3:14" ht="15.75" customHeight="1">
      <c r="C114" s="4"/>
      <c r="N114" s="3"/>
    </row>
    <row r="115" spans="3:14" ht="15.75" customHeight="1">
      <c r="C115" s="4"/>
      <c r="N115" s="3"/>
    </row>
    <row r="116" spans="3:14" ht="15.75" customHeight="1">
      <c r="C116" s="4"/>
      <c r="N116" s="3"/>
    </row>
    <row r="117" spans="3:14" ht="15.75" customHeight="1">
      <c r="C117" s="4"/>
      <c r="N117" s="3"/>
    </row>
    <row r="118" spans="3:14" ht="15.75" customHeight="1">
      <c r="C118" s="4"/>
      <c r="N118" s="3"/>
    </row>
    <row r="119" spans="3:14" ht="15.75" customHeight="1">
      <c r="C119" s="4"/>
      <c r="N119" s="3"/>
    </row>
    <row r="120" spans="3:14" ht="15.75" customHeight="1">
      <c r="C120" s="4"/>
      <c r="N120" s="3"/>
    </row>
    <row r="121" spans="3:14" ht="15.75" customHeight="1">
      <c r="C121" s="4"/>
      <c r="N121" s="3"/>
    </row>
    <row r="122" spans="3:14" ht="15.75" customHeight="1">
      <c r="C122" s="4"/>
      <c r="N122" s="3"/>
    </row>
    <row r="123" spans="3:14" ht="15.75" customHeight="1">
      <c r="C123" s="4"/>
      <c r="N123" s="3"/>
    </row>
    <row r="124" spans="3:14" ht="15.75" customHeight="1">
      <c r="C124" s="4"/>
      <c r="N124" s="3"/>
    </row>
    <row r="125" spans="3:14" ht="15.75" customHeight="1">
      <c r="C125" s="4"/>
      <c r="N125" s="3"/>
    </row>
    <row r="126" spans="3:14" ht="15.75" customHeight="1">
      <c r="C126" s="4"/>
      <c r="N126" s="3"/>
    </row>
    <row r="127" spans="3:14" ht="15.75" customHeight="1">
      <c r="C127" s="4"/>
      <c r="N127" s="3"/>
    </row>
    <row r="128" spans="3:14" ht="15.75" customHeight="1">
      <c r="C128" s="4"/>
      <c r="N128" s="3"/>
    </row>
    <row r="129" spans="3:14" ht="15.75" customHeight="1">
      <c r="C129" s="4"/>
      <c r="N129" s="3"/>
    </row>
    <row r="130" spans="3:14" ht="15.75" customHeight="1">
      <c r="C130" s="4"/>
      <c r="N130" s="3"/>
    </row>
    <row r="131" spans="3:14" ht="15.75" customHeight="1">
      <c r="C131" s="4"/>
      <c r="N131" s="3"/>
    </row>
    <row r="132" spans="3:14" ht="15.75" customHeight="1">
      <c r="C132" s="4"/>
      <c r="N132" s="3"/>
    </row>
    <row r="133" spans="3:14" ht="15.75" customHeight="1">
      <c r="C133" s="4"/>
      <c r="N133" s="3"/>
    </row>
    <row r="134" spans="3:14" ht="15.75" customHeight="1">
      <c r="C134" s="4"/>
      <c r="N134" s="3"/>
    </row>
    <row r="135" spans="3:14" ht="15.75" customHeight="1">
      <c r="C135" s="4"/>
      <c r="N135" s="3"/>
    </row>
    <row r="136" spans="3:14" ht="15.75" customHeight="1">
      <c r="C136" s="4"/>
      <c r="N136" s="3"/>
    </row>
    <row r="137" spans="3:14" ht="15.75" customHeight="1">
      <c r="C137" s="4"/>
      <c r="N137" s="3"/>
    </row>
    <row r="138" spans="3:14" ht="15.75" customHeight="1">
      <c r="C138" s="4"/>
      <c r="N138" s="3"/>
    </row>
    <row r="139" spans="3:14" ht="15.75" customHeight="1">
      <c r="C139" s="4"/>
      <c r="N139" s="3"/>
    </row>
    <row r="140" spans="3:14" ht="15.75" customHeight="1">
      <c r="C140" s="4"/>
      <c r="N140" s="3"/>
    </row>
    <row r="141" spans="3:14" ht="15.75" customHeight="1">
      <c r="C141" s="4"/>
      <c r="N141" s="3"/>
    </row>
    <row r="142" spans="3:14" ht="15.75" customHeight="1">
      <c r="C142" s="4"/>
      <c r="N142" s="3"/>
    </row>
    <row r="143" spans="3:14" ht="15.75" customHeight="1">
      <c r="C143" s="4"/>
      <c r="N143" s="3"/>
    </row>
    <row r="144" spans="3:14" ht="15.75" customHeight="1">
      <c r="C144" s="4"/>
      <c r="N144" s="3"/>
    </row>
    <row r="145" spans="3:14" ht="15.75" customHeight="1">
      <c r="C145" s="4"/>
      <c r="N145" s="3"/>
    </row>
    <row r="146" spans="3:14" ht="15.75" customHeight="1">
      <c r="C146" s="4"/>
      <c r="N146" s="3"/>
    </row>
    <row r="147" spans="3:14" ht="15.75" customHeight="1">
      <c r="C147" s="4"/>
      <c r="N147" s="3"/>
    </row>
    <row r="148" spans="3:14" ht="15.75" customHeight="1">
      <c r="C148" s="4"/>
      <c r="N148" s="3"/>
    </row>
    <row r="149" spans="3:14" ht="15.75" customHeight="1">
      <c r="C149" s="4"/>
      <c r="N149" s="3"/>
    </row>
    <row r="150" spans="3:14" ht="15.75" customHeight="1">
      <c r="C150" s="4"/>
      <c r="N150" s="3"/>
    </row>
    <row r="151" spans="3:14" ht="15.75" customHeight="1">
      <c r="C151" s="4"/>
      <c r="N151" s="3"/>
    </row>
    <row r="152" spans="3:14" ht="15.75" customHeight="1">
      <c r="C152" s="4"/>
      <c r="N152" s="3"/>
    </row>
    <row r="153" spans="3:14" ht="15.75" customHeight="1">
      <c r="C153" s="4"/>
      <c r="N153" s="3"/>
    </row>
    <row r="154" spans="3:14" ht="15.75" customHeight="1">
      <c r="C154" s="4"/>
      <c r="N154" s="3"/>
    </row>
    <row r="155" spans="3:14" ht="15.75" customHeight="1">
      <c r="C155" s="4"/>
      <c r="N155" s="3"/>
    </row>
    <row r="156" spans="3:14" ht="15.75" customHeight="1">
      <c r="C156" s="4"/>
      <c r="N156" s="3"/>
    </row>
    <row r="157" spans="3:14" ht="15.75" customHeight="1">
      <c r="C157" s="4"/>
      <c r="N157" s="3"/>
    </row>
    <row r="158" spans="3:14" ht="15.75" customHeight="1">
      <c r="C158" s="4"/>
      <c r="N158" s="3"/>
    </row>
    <row r="159" spans="3:14" ht="15.75" customHeight="1">
      <c r="C159" s="4"/>
      <c r="N159" s="3"/>
    </row>
    <row r="160" spans="3:14" ht="15.75" customHeight="1">
      <c r="C160" s="4"/>
      <c r="N160" s="3"/>
    </row>
    <row r="161" spans="3:14" ht="15.75" customHeight="1">
      <c r="C161" s="4"/>
      <c r="N161" s="3"/>
    </row>
    <row r="162" spans="3:14" ht="15.75" customHeight="1">
      <c r="C162" s="4"/>
      <c r="N162" s="3"/>
    </row>
    <row r="163" spans="3:14" ht="15.75" customHeight="1">
      <c r="C163" s="4"/>
      <c r="N163" s="3"/>
    </row>
    <row r="164" spans="3:14" ht="15.75" customHeight="1">
      <c r="C164" s="4"/>
      <c r="N164" s="3"/>
    </row>
    <row r="165" spans="3:14" ht="15.75" customHeight="1">
      <c r="C165" s="4"/>
      <c r="N165" s="3"/>
    </row>
    <row r="166" spans="3:14" ht="15.75" customHeight="1">
      <c r="C166" s="4"/>
      <c r="N166" s="3"/>
    </row>
    <row r="167" spans="3:14" ht="15.75" customHeight="1">
      <c r="C167" s="4"/>
      <c r="N167" s="3"/>
    </row>
    <row r="168" spans="3:14" ht="15.75" customHeight="1">
      <c r="C168" s="4"/>
      <c r="N168" s="3"/>
    </row>
    <row r="169" spans="3:14" ht="15.75" customHeight="1">
      <c r="C169" s="4"/>
      <c r="N169" s="3"/>
    </row>
    <row r="170" spans="3:14" ht="15.75" customHeight="1">
      <c r="C170" s="4"/>
      <c r="N170" s="3"/>
    </row>
    <row r="171" spans="3:14" ht="15.75" customHeight="1">
      <c r="C171" s="4"/>
      <c r="N171" s="3"/>
    </row>
    <row r="172" spans="3:14" ht="15.75" customHeight="1">
      <c r="C172" s="4"/>
      <c r="N172" s="3"/>
    </row>
    <row r="173" spans="3:14" ht="15.75" customHeight="1">
      <c r="C173" s="4"/>
      <c r="N173" s="3"/>
    </row>
    <row r="174" spans="3:14" ht="15.75" customHeight="1">
      <c r="C174" s="4"/>
      <c r="N174" s="3"/>
    </row>
    <row r="175" spans="3:14" ht="15.75" customHeight="1">
      <c r="C175" s="4"/>
      <c r="N175" s="3"/>
    </row>
    <row r="176" spans="3:14" ht="15.75" customHeight="1">
      <c r="C176" s="4"/>
      <c r="N176" s="3"/>
    </row>
    <row r="177" spans="3:14" ht="15.75" customHeight="1">
      <c r="C177" s="4"/>
      <c r="N177" s="3"/>
    </row>
    <row r="178" spans="3:14" ht="15.75" customHeight="1">
      <c r="C178" s="4"/>
      <c r="N178" s="3"/>
    </row>
    <row r="179" spans="3:14" ht="15.75" customHeight="1">
      <c r="C179" s="4"/>
      <c r="N179" s="3"/>
    </row>
    <row r="180" spans="3:14" ht="15.75" customHeight="1">
      <c r="C180" s="4"/>
      <c r="N180" s="3"/>
    </row>
    <row r="181" spans="3:14" ht="15.75" customHeight="1">
      <c r="C181" s="4"/>
      <c r="N181" s="3"/>
    </row>
    <row r="182" spans="3:14" ht="15.75" customHeight="1">
      <c r="C182" s="4"/>
      <c r="N182" s="3"/>
    </row>
    <row r="183" spans="3:14" ht="15.75" customHeight="1">
      <c r="C183" s="4"/>
      <c r="N183" s="3"/>
    </row>
    <row r="184" spans="3:14" ht="15.75" customHeight="1">
      <c r="C184" s="4"/>
      <c r="N184" s="3"/>
    </row>
    <row r="185" spans="3:14" ht="15.75" customHeight="1">
      <c r="C185" s="4"/>
      <c r="N185" s="3"/>
    </row>
    <row r="186" spans="3:14" ht="15.75" customHeight="1">
      <c r="C186" s="4"/>
      <c r="N186" s="3"/>
    </row>
    <row r="187" spans="3:14" ht="15.75" customHeight="1">
      <c r="C187" s="4"/>
      <c r="N187" s="3"/>
    </row>
    <row r="188" spans="3:14" ht="15.75" customHeight="1">
      <c r="C188" s="4"/>
      <c r="N188" s="3"/>
    </row>
    <row r="189" spans="3:14" ht="15.75" customHeight="1">
      <c r="C189" s="4"/>
      <c r="N189" s="3"/>
    </row>
    <row r="190" spans="3:14" ht="15.75" customHeight="1">
      <c r="C190" s="4"/>
      <c r="N190" s="3"/>
    </row>
    <row r="191" spans="3:14" ht="15.75" customHeight="1">
      <c r="C191" s="4"/>
      <c r="N191" s="3"/>
    </row>
    <row r="192" spans="3:14" ht="15.75" customHeight="1">
      <c r="C192" s="4"/>
      <c r="N192" s="3"/>
    </row>
    <row r="193" spans="3:14" ht="15.75" customHeight="1">
      <c r="C193" s="4"/>
      <c r="N193" s="3"/>
    </row>
    <row r="194" spans="3:14" ht="15.75" customHeight="1">
      <c r="C194" s="4"/>
      <c r="N194" s="3"/>
    </row>
    <row r="195" spans="3:14" ht="15.75" customHeight="1">
      <c r="C195" s="4"/>
      <c r="N195" s="3"/>
    </row>
    <row r="196" spans="3:14" ht="15.75" customHeight="1">
      <c r="C196" s="4"/>
      <c r="N196" s="3"/>
    </row>
    <row r="197" spans="3:14" ht="15.75" customHeight="1">
      <c r="C197" s="4"/>
      <c r="N197" s="3"/>
    </row>
    <row r="198" spans="3:14" ht="15.75" customHeight="1">
      <c r="C198" s="4"/>
      <c r="N198" s="3"/>
    </row>
    <row r="199" spans="3:14" ht="15.75" customHeight="1">
      <c r="C199" s="4"/>
      <c r="N199" s="3"/>
    </row>
    <row r="200" spans="3:14" ht="15.75" customHeight="1">
      <c r="C200" s="4"/>
      <c r="N200" s="3"/>
    </row>
    <row r="201" spans="3:14" ht="15.75" customHeight="1">
      <c r="C201" s="4"/>
      <c r="N201" s="3"/>
    </row>
    <row r="202" spans="3:14" ht="15.75" customHeight="1">
      <c r="C202" s="4"/>
      <c r="N202" s="3"/>
    </row>
    <row r="203" spans="3:14" ht="15.75" customHeight="1">
      <c r="C203" s="4"/>
      <c r="N203" s="3"/>
    </row>
    <row r="204" spans="3:14" ht="15.75" customHeight="1">
      <c r="C204" s="4"/>
      <c r="N204" s="3"/>
    </row>
    <row r="205" spans="3:14" ht="15.75" customHeight="1">
      <c r="C205" s="4"/>
      <c r="N205" s="3"/>
    </row>
    <row r="206" spans="3:14" ht="15.75" customHeight="1">
      <c r="C206" s="4"/>
      <c r="N206" s="3"/>
    </row>
    <row r="207" spans="3:14" ht="15.75" customHeight="1">
      <c r="C207" s="4"/>
      <c r="N207" s="3"/>
    </row>
    <row r="208" spans="3:14" ht="15.75" customHeight="1">
      <c r="C208" s="4"/>
      <c r="N208" s="3"/>
    </row>
    <row r="209" spans="3:14" ht="15.75" customHeight="1">
      <c r="C209" s="4"/>
      <c r="N209" s="3"/>
    </row>
    <row r="210" spans="3:14" ht="15.75" customHeight="1">
      <c r="C210" s="4"/>
      <c r="N210" s="3"/>
    </row>
    <row r="211" spans="3:14" ht="15.75" customHeight="1">
      <c r="C211" s="4"/>
      <c r="N211" s="3"/>
    </row>
    <row r="212" spans="3:14" ht="15.75" customHeight="1">
      <c r="C212" s="4"/>
      <c r="N212" s="3"/>
    </row>
    <row r="213" spans="3:14" ht="15.75" customHeight="1">
      <c r="C213" s="4"/>
      <c r="N213" s="3"/>
    </row>
    <row r="214" spans="3:14" ht="15.75" customHeight="1">
      <c r="C214" s="4"/>
      <c r="N214" s="3"/>
    </row>
    <row r="215" spans="3:14" ht="15.75" customHeight="1">
      <c r="C215" s="4"/>
      <c r="N215" s="3"/>
    </row>
    <row r="216" spans="3:14" ht="15.75" customHeight="1">
      <c r="C216" s="4"/>
      <c r="N216" s="3"/>
    </row>
    <row r="217" spans="3:14" ht="15.75" customHeight="1">
      <c r="C217" s="4"/>
      <c r="N217" s="3"/>
    </row>
    <row r="218" spans="3:14" ht="15.75" customHeight="1">
      <c r="C218" s="4"/>
      <c r="N218" s="3"/>
    </row>
    <row r="219" spans="3:14" ht="15.75" customHeight="1">
      <c r="C219" s="4"/>
      <c r="N219" s="3"/>
    </row>
    <row r="220" spans="3:14" ht="15.75" customHeight="1">
      <c r="C220" s="4"/>
      <c r="N220" s="3"/>
    </row>
    <row r="221" spans="3:14" ht="15.75" customHeight="1">
      <c r="C221" s="4"/>
      <c r="N221" s="3"/>
    </row>
    <row r="222" spans="3:14" ht="15.75" customHeight="1">
      <c r="C222" s="4"/>
      <c r="N222" s="3"/>
    </row>
    <row r="223" spans="3:14" ht="15.75" customHeight="1">
      <c r="C223" s="4"/>
      <c r="N223" s="3"/>
    </row>
    <row r="224" spans="3:14" ht="15.75" customHeight="1">
      <c r="C224" s="4"/>
      <c r="N224" s="3"/>
    </row>
    <row r="225" spans="3:14" ht="15.75" customHeight="1">
      <c r="C225" s="4"/>
      <c r="N225" s="3"/>
    </row>
    <row r="226" spans="3:14" ht="15.75" customHeight="1">
      <c r="C226" s="4"/>
      <c r="N226" s="3"/>
    </row>
    <row r="227" spans="3:14" ht="15.75" customHeight="1">
      <c r="C227" s="4"/>
      <c r="N227" s="3"/>
    </row>
    <row r="228" spans="3:14" ht="15.75" customHeight="1">
      <c r="C228" s="4"/>
      <c r="N228" s="3"/>
    </row>
    <row r="229" spans="3:14" ht="15.75" customHeight="1">
      <c r="C229" s="4"/>
      <c r="N229" s="3"/>
    </row>
    <row r="230" spans="3:14" ht="15.75" customHeight="1">
      <c r="C230" s="4"/>
      <c r="N230" s="3"/>
    </row>
    <row r="231" spans="3:14" ht="15.75" customHeight="1">
      <c r="C231" s="4"/>
      <c r="N231" s="3"/>
    </row>
    <row r="232" spans="3:14" ht="15.75" customHeight="1">
      <c r="C232" s="4"/>
      <c r="N232" s="3"/>
    </row>
    <row r="233" spans="3:14" ht="15.75" customHeight="1">
      <c r="C233" s="4"/>
      <c r="N233" s="3"/>
    </row>
    <row r="234" spans="3:14" ht="15.75" customHeight="1">
      <c r="C234" s="4"/>
      <c r="N234" s="3"/>
    </row>
    <row r="235" spans="3:14" ht="15.75" customHeight="1">
      <c r="C235" s="4"/>
      <c r="N235" s="3"/>
    </row>
    <row r="236" spans="3:14" ht="15.75" customHeight="1">
      <c r="C236" s="4"/>
      <c r="N236" s="3"/>
    </row>
    <row r="237" spans="3:14" ht="15.75" customHeight="1">
      <c r="C237" s="4"/>
      <c r="N237" s="3"/>
    </row>
    <row r="238" spans="3:14" ht="15.75" customHeight="1">
      <c r="C238" s="4"/>
      <c r="N238" s="3"/>
    </row>
    <row r="239" spans="3:14" ht="15.75" customHeight="1">
      <c r="C239" s="4"/>
      <c r="N239" s="3"/>
    </row>
    <row r="240" spans="3:14" ht="15.75" customHeight="1">
      <c r="C240" s="4"/>
      <c r="N240" s="3"/>
    </row>
    <row r="241" spans="3:14" ht="15.75" customHeight="1">
      <c r="C241" s="4"/>
      <c r="N241" s="3"/>
    </row>
    <row r="242" spans="3:14" ht="15.75" customHeight="1">
      <c r="C242" s="4"/>
      <c r="N242" s="3"/>
    </row>
    <row r="243" spans="3:14" ht="15.75" customHeight="1">
      <c r="C243" s="4"/>
      <c r="N243" s="3"/>
    </row>
    <row r="244" spans="3:14" ht="15.75" customHeight="1">
      <c r="C244" s="4"/>
      <c r="N244" s="3"/>
    </row>
    <row r="245" spans="3:14" ht="15.75" customHeight="1">
      <c r="C245" s="4"/>
      <c r="N245" s="3"/>
    </row>
    <row r="246" spans="3:14" ht="15.75" customHeight="1">
      <c r="C246" s="4"/>
      <c r="N246" s="3"/>
    </row>
    <row r="247" spans="3:14" ht="15.75" customHeight="1">
      <c r="C247" s="4"/>
      <c r="N247" s="3"/>
    </row>
    <row r="248" spans="3:14" ht="15.75" customHeight="1">
      <c r="C248" s="4"/>
      <c r="N248" s="3"/>
    </row>
    <row r="249" spans="3:14" ht="15.75" customHeight="1">
      <c r="C249" s="4"/>
      <c r="N249" s="3"/>
    </row>
    <row r="250" spans="3:14" ht="15.75" customHeight="1">
      <c r="C250" s="4"/>
      <c r="N250" s="3"/>
    </row>
    <row r="251" spans="3:14" ht="15.75" customHeight="1">
      <c r="C251" s="4"/>
      <c r="N251" s="3"/>
    </row>
    <row r="252" spans="3:14" ht="15.75" customHeight="1">
      <c r="C252" s="4"/>
      <c r="N252" s="3"/>
    </row>
    <row r="253" spans="3:14" ht="15.75" customHeight="1">
      <c r="C253" s="4"/>
      <c r="N253" s="3"/>
    </row>
    <row r="254" spans="3:14" ht="15.75" customHeight="1">
      <c r="C254" s="4"/>
      <c r="N254" s="3"/>
    </row>
    <row r="255" spans="3:14" ht="15.75" customHeight="1">
      <c r="C255" s="4"/>
      <c r="N255" s="3"/>
    </row>
    <row r="256" spans="3:14" ht="15.75" customHeight="1">
      <c r="C256" s="4"/>
      <c r="N256" s="3"/>
    </row>
    <row r="257" spans="3:14" ht="15.75" customHeight="1">
      <c r="C257" s="4"/>
      <c r="N257" s="3"/>
    </row>
    <row r="258" spans="3:14" ht="15.75" customHeight="1">
      <c r="C258" s="4"/>
      <c r="N258" s="3"/>
    </row>
    <row r="259" spans="3:14" ht="15.75" customHeight="1">
      <c r="C259" s="4"/>
      <c r="N259" s="3"/>
    </row>
    <row r="260" spans="3:14" ht="15.75" customHeight="1">
      <c r="C260" s="4"/>
      <c r="N260" s="3"/>
    </row>
    <row r="261" spans="3:14" ht="15.75" customHeight="1">
      <c r="C261" s="4"/>
      <c r="N261" s="3"/>
    </row>
    <row r="262" spans="3:14" ht="15.75" customHeight="1">
      <c r="C262" s="4"/>
      <c r="N262" s="3"/>
    </row>
    <row r="263" spans="3:14" ht="15.75" customHeight="1">
      <c r="C263" s="4"/>
      <c r="N263" s="3"/>
    </row>
    <row r="264" spans="3:14" ht="15.75" customHeight="1">
      <c r="C264" s="4"/>
      <c r="N264" s="3"/>
    </row>
    <row r="265" spans="3:14" ht="15.75" customHeight="1">
      <c r="C265" s="4"/>
      <c r="N265" s="3"/>
    </row>
    <row r="266" spans="3:14" ht="15.75" customHeight="1">
      <c r="C266" s="4"/>
      <c r="N266" s="3"/>
    </row>
    <row r="267" spans="3:14" ht="15.75" customHeight="1">
      <c r="C267" s="4"/>
      <c r="N267" s="3"/>
    </row>
    <row r="268" spans="3:14" ht="15.75" customHeight="1">
      <c r="C268" s="4"/>
      <c r="N268" s="3"/>
    </row>
    <row r="269" spans="3:14" ht="15.75" customHeight="1">
      <c r="C269" s="4"/>
      <c r="N269" s="3"/>
    </row>
    <row r="270" spans="3:14" ht="15.75" customHeight="1">
      <c r="C270" s="4"/>
      <c r="N270" s="3"/>
    </row>
    <row r="271" spans="3:14" ht="15.75" customHeight="1">
      <c r="C271" s="4"/>
      <c r="N271" s="3"/>
    </row>
    <row r="272" spans="3:14" ht="15.75" customHeight="1">
      <c r="C272" s="4"/>
      <c r="N272" s="3"/>
    </row>
    <row r="273" spans="3:14" ht="15.75" customHeight="1">
      <c r="C273" s="4"/>
      <c r="N273" s="3"/>
    </row>
    <row r="274" spans="3:14" ht="15.75" customHeight="1">
      <c r="C274" s="4"/>
      <c r="N274" s="3"/>
    </row>
    <row r="275" spans="3:14" ht="15.75" customHeight="1">
      <c r="C275" s="4"/>
      <c r="N275" s="3"/>
    </row>
    <row r="276" spans="3:14" ht="15.75" customHeight="1">
      <c r="C276" s="4"/>
      <c r="N276" s="3"/>
    </row>
    <row r="277" spans="3:14" ht="15.75" customHeight="1">
      <c r="C277" s="4"/>
      <c r="N277" s="3"/>
    </row>
    <row r="278" spans="3:14" ht="15.75" customHeight="1">
      <c r="C278" s="4"/>
      <c r="N278" s="3"/>
    </row>
    <row r="279" spans="3:14" ht="15.75" customHeight="1">
      <c r="C279" s="4"/>
      <c r="N279" s="3"/>
    </row>
    <row r="280" spans="3:14" ht="15.75" customHeight="1">
      <c r="C280" s="4"/>
      <c r="N280" s="3"/>
    </row>
    <row r="281" spans="3:14" ht="15.75" customHeight="1">
      <c r="C281" s="4"/>
      <c r="N281" s="3"/>
    </row>
    <row r="282" spans="3:14" ht="15.75" customHeight="1">
      <c r="C282" s="4"/>
      <c r="N282" s="3"/>
    </row>
    <row r="283" spans="3:14" ht="15.75" customHeight="1">
      <c r="C283" s="4"/>
      <c r="N283" s="3"/>
    </row>
    <row r="284" spans="3:14" ht="15.75" customHeight="1">
      <c r="C284" s="4"/>
      <c r="N284" s="3"/>
    </row>
    <row r="285" spans="3:14" ht="15.75" customHeight="1">
      <c r="C285" s="4"/>
      <c r="N285" s="3"/>
    </row>
    <row r="286" spans="3:14" ht="15.75" customHeight="1">
      <c r="C286" s="4"/>
      <c r="N286" s="3"/>
    </row>
    <row r="287" spans="3:14" ht="15.75" customHeight="1">
      <c r="C287" s="4"/>
      <c r="N287" s="3"/>
    </row>
    <row r="288" spans="3:14" ht="15.75" customHeight="1">
      <c r="C288" s="4"/>
      <c r="N288" s="3"/>
    </row>
    <row r="289" spans="3:14" ht="15.75" customHeight="1">
      <c r="C289" s="4"/>
      <c r="N289" s="3"/>
    </row>
    <row r="290" spans="3:14" ht="15.75" customHeight="1">
      <c r="C290" s="4"/>
      <c r="N290" s="3"/>
    </row>
    <row r="291" spans="3:14" ht="15.75" customHeight="1">
      <c r="C291" s="4"/>
      <c r="N291" s="3"/>
    </row>
    <row r="292" spans="3:14" ht="15.75" customHeight="1">
      <c r="C292" s="4"/>
      <c r="N292" s="3"/>
    </row>
    <row r="293" spans="3:14" ht="15.75" customHeight="1">
      <c r="C293" s="4"/>
      <c r="N293" s="3"/>
    </row>
    <row r="294" spans="3:14" ht="15.75" customHeight="1">
      <c r="C294" s="4"/>
      <c r="N294" s="3"/>
    </row>
    <row r="295" spans="3:14" ht="15.75" customHeight="1">
      <c r="C295" s="4"/>
      <c r="N295" s="3"/>
    </row>
    <row r="296" spans="3:14" ht="15.75" customHeight="1">
      <c r="C296" s="4"/>
      <c r="N296" s="3"/>
    </row>
    <row r="297" spans="3:14" ht="15.75" customHeight="1">
      <c r="C297" s="4"/>
      <c r="N297" s="3"/>
    </row>
    <row r="298" spans="3:14" ht="15.75" customHeight="1">
      <c r="C298" s="4"/>
      <c r="N298" s="3"/>
    </row>
    <row r="299" spans="3:14" ht="15.75" customHeight="1">
      <c r="C299" s="4"/>
      <c r="N299" s="3"/>
    </row>
    <row r="300" spans="3:14" ht="15.75" customHeight="1">
      <c r="C300" s="4"/>
      <c r="N300" s="3"/>
    </row>
    <row r="301" spans="3:14" ht="15.75" customHeight="1">
      <c r="C301" s="4"/>
      <c r="N301" s="3"/>
    </row>
    <row r="302" spans="3:14" ht="15.75" customHeight="1">
      <c r="C302" s="4"/>
      <c r="N302" s="3"/>
    </row>
    <row r="303" spans="3:14" ht="15.75" customHeight="1">
      <c r="C303" s="4"/>
      <c r="N303" s="3"/>
    </row>
    <row r="304" spans="3:14" ht="15.75" customHeight="1">
      <c r="C304" s="4"/>
      <c r="N304" s="3"/>
    </row>
    <row r="305" spans="3:14" ht="15.75" customHeight="1">
      <c r="C305" s="4"/>
      <c r="N305" s="3"/>
    </row>
    <row r="306" spans="3:14" ht="15.75" customHeight="1">
      <c r="C306" s="4"/>
      <c r="N306" s="3"/>
    </row>
    <row r="307" spans="3:14" ht="15.75" customHeight="1">
      <c r="C307" s="4"/>
      <c r="N307" s="3"/>
    </row>
    <row r="308" spans="3:14" ht="15.75" customHeight="1">
      <c r="C308" s="4"/>
      <c r="N308" s="3"/>
    </row>
    <row r="309" spans="3:14" ht="15.75" customHeight="1">
      <c r="C309" s="4"/>
      <c r="N309" s="3"/>
    </row>
    <row r="310" spans="3:14" ht="15.75" customHeight="1">
      <c r="C310" s="4"/>
      <c r="N310" s="3"/>
    </row>
    <row r="311" spans="3:14" ht="15.75" customHeight="1">
      <c r="C311" s="4"/>
      <c r="N311" s="3"/>
    </row>
    <row r="312" spans="3:14" ht="15.75" customHeight="1">
      <c r="C312" s="4"/>
      <c r="N312" s="3"/>
    </row>
    <row r="313" spans="3:14" ht="15.75" customHeight="1">
      <c r="C313" s="4"/>
      <c r="N313" s="3"/>
    </row>
    <row r="314" spans="3:14" ht="15.75" customHeight="1">
      <c r="C314" s="4"/>
      <c r="N314" s="3"/>
    </row>
    <row r="315" spans="3:14" ht="15.75" customHeight="1">
      <c r="C315" s="4"/>
      <c r="N315" s="3"/>
    </row>
    <row r="316" spans="3:14" ht="15.75" customHeight="1">
      <c r="C316" s="4"/>
      <c r="N316" s="3"/>
    </row>
    <row r="317" spans="3:14" ht="15.75" customHeight="1">
      <c r="C317" s="4"/>
      <c r="N317" s="3"/>
    </row>
    <row r="318" spans="3:14" ht="15.75" customHeight="1">
      <c r="C318" s="4"/>
      <c r="N318" s="3"/>
    </row>
    <row r="319" spans="3:14" ht="15.75" customHeight="1">
      <c r="C319" s="4"/>
      <c r="N319" s="3"/>
    </row>
    <row r="320" spans="3:14" ht="15.75" customHeight="1">
      <c r="C320" s="4"/>
      <c r="N320" s="3"/>
    </row>
    <row r="321" spans="3:14" ht="15.75" customHeight="1">
      <c r="C321" s="4"/>
      <c r="N321" s="3"/>
    </row>
    <row r="322" spans="3:14" ht="15.75" customHeight="1">
      <c r="C322" s="4"/>
      <c r="N322" s="3"/>
    </row>
    <row r="323" spans="3:14" ht="15.75" customHeight="1">
      <c r="C323" s="4"/>
      <c r="N323" s="3"/>
    </row>
    <row r="324" spans="3:14" ht="15.75" customHeight="1">
      <c r="C324" s="4"/>
      <c r="N324" s="3"/>
    </row>
    <row r="325" spans="3:14" ht="15.75" customHeight="1">
      <c r="C325" s="4"/>
      <c r="N325" s="3"/>
    </row>
    <row r="326" spans="3:14" ht="15.75" customHeight="1">
      <c r="C326" s="4"/>
      <c r="N326" s="3"/>
    </row>
    <row r="327" spans="3:14" ht="15.75" customHeight="1">
      <c r="C327" s="4"/>
      <c r="N327" s="3"/>
    </row>
    <row r="328" spans="3:14" ht="15.75" customHeight="1">
      <c r="C328" s="4"/>
      <c r="N328" s="3"/>
    </row>
    <row r="329" spans="3:14" ht="15.75" customHeight="1">
      <c r="C329" s="4"/>
      <c r="N329" s="3"/>
    </row>
    <row r="330" spans="3:14" ht="15.75" customHeight="1">
      <c r="C330" s="4"/>
      <c r="N330" s="3"/>
    </row>
    <row r="331" spans="3:14" ht="15.75" customHeight="1">
      <c r="C331" s="4"/>
      <c r="N331" s="3"/>
    </row>
    <row r="332" spans="3:14" ht="15.75" customHeight="1">
      <c r="C332" s="4"/>
      <c r="N332" s="3"/>
    </row>
    <row r="333" spans="3:14" ht="15.75" customHeight="1">
      <c r="C333" s="4"/>
      <c r="N333" s="3"/>
    </row>
    <row r="334" spans="3:14" ht="15.75" customHeight="1">
      <c r="C334" s="4"/>
      <c r="N334" s="3"/>
    </row>
    <row r="335" spans="3:14" ht="15.75" customHeight="1">
      <c r="C335" s="4"/>
      <c r="N335" s="3"/>
    </row>
    <row r="336" spans="3:14" ht="15.75" customHeight="1">
      <c r="C336" s="4"/>
      <c r="N336" s="3"/>
    </row>
    <row r="337" spans="3:14" ht="15.75" customHeight="1">
      <c r="C337" s="4"/>
      <c r="N337" s="3"/>
    </row>
    <row r="338" spans="3:14" ht="15.75" customHeight="1">
      <c r="C338" s="4"/>
      <c r="N338" s="3"/>
    </row>
    <row r="339" spans="3:14" ht="15.75" customHeight="1">
      <c r="C339" s="4"/>
      <c r="N339" s="3"/>
    </row>
    <row r="340" spans="3:14" ht="15.75" customHeight="1">
      <c r="C340" s="4"/>
      <c r="N340" s="3"/>
    </row>
    <row r="341" spans="3:14" ht="15.75" customHeight="1">
      <c r="C341" s="4"/>
      <c r="N341" s="3"/>
    </row>
    <row r="342" spans="3:14" ht="15.75" customHeight="1">
      <c r="C342" s="4"/>
      <c r="N342" s="3"/>
    </row>
    <row r="343" spans="3:14" ht="15.75" customHeight="1">
      <c r="C343" s="4"/>
      <c r="N343" s="3"/>
    </row>
    <row r="344" spans="3:14" ht="15.75" customHeight="1">
      <c r="C344" s="4"/>
      <c r="N344" s="3"/>
    </row>
    <row r="345" spans="3:14" ht="15.75" customHeight="1">
      <c r="C345" s="4"/>
      <c r="N345" s="3"/>
    </row>
    <row r="346" spans="3:14" ht="15.75" customHeight="1">
      <c r="C346" s="4"/>
      <c r="N346" s="3"/>
    </row>
    <row r="347" spans="3:14" ht="15.75" customHeight="1">
      <c r="C347" s="4"/>
      <c r="N347" s="3"/>
    </row>
    <row r="348" spans="3:14" ht="15.75" customHeight="1">
      <c r="C348" s="4"/>
      <c r="N348" s="3"/>
    </row>
    <row r="349" spans="3:14" ht="15.75" customHeight="1">
      <c r="C349" s="4"/>
      <c r="N349" s="3"/>
    </row>
    <row r="350" spans="3:14" ht="15.75" customHeight="1">
      <c r="C350" s="4"/>
      <c r="N350" s="3"/>
    </row>
    <row r="351" spans="3:14" ht="15.75" customHeight="1">
      <c r="C351" s="4"/>
      <c r="N351" s="3"/>
    </row>
    <row r="352" spans="3:14" ht="15.75" customHeight="1">
      <c r="C352" s="4"/>
      <c r="N352" s="3"/>
    </row>
    <row r="353" spans="3:14" ht="15.75" customHeight="1">
      <c r="C353" s="4"/>
      <c r="N353" s="3"/>
    </row>
    <row r="354" spans="3:14" ht="15.75" customHeight="1">
      <c r="C354" s="4"/>
      <c r="N354" s="3"/>
    </row>
    <row r="355" spans="3:14" ht="15.75" customHeight="1">
      <c r="C355" s="4"/>
      <c r="N355" s="3"/>
    </row>
    <row r="356" spans="3:14" ht="15.75" customHeight="1">
      <c r="C356" s="4"/>
      <c r="N356" s="3"/>
    </row>
    <row r="357" spans="3:14" ht="15.75" customHeight="1">
      <c r="C357" s="4"/>
      <c r="N357" s="3"/>
    </row>
    <row r="358" spans="3:14" ht="15.75" customHeight="1">
      <c r="C358" s="4"/>
      <c r="N358" s="3"/>
    </row>
    <row r="359" spans="3:14" ht="15.75" customHeight="1">
      <c r="C359" s="4"/>
      <c r="N359" s="3"/>
    </row>
    <row r="360" spans="3:14" ht="15.75" customHeight="1">
      <c r="C360" s="4"/>
      <c r="N360" s="3"/>
    </row>
    <row r="361" spans="3:14" ht="15.75" customHeight="1">
      <c r="C361" s="4"/>
      <c r="N361" s="3"/>
    </row>
    <row r="362" spans="3:14" ht="15.75" customHeight="1">
      <c r="C362" s="4"/>
      <c r="N362" s="3"/>
    </row>
    <row r="363" spans="3:14" ht="15.75" customHeight="1">
      <c r="C363" s="4"/>
      <c r="N363" s="3"/>
    </row>
    <row r="364" spans="3:14" ht="15.75" customHeight="1">
      <c r="C364" s="4"/>
      <c r="N364" s="3"/>
    </row>
    <row r="365" spans="3:14" ht="15.75" customHeight="1">
      <c r="C365" s="4"/>
      <c r="N365" s="3"/>
    </row>
    <row r="366" spans="3:14" ht="15.75" customHeight="1">
      <c r="C366" s="4"/>
      <c r="N366" s="3"/>
    </row>
    <row r="367" spans="3:14" ht="15.75" customHeight="1">
      <c r="C367" s="4"/>
      <c r="N367" s="3"/>
    </row>
    <row r="368" spans="3:14" ht="15.75" customHeight="1">
      <c r="C368" s="4"/>
      <c r="N368" s="3"/>
    </row>
    <row r="369" spans="3:14" ht="15.75" customHeight="1">
      <c r="C369" s="4"/>
      <c r="N369" s="3"/>
    </row>
    <row r="370" spans="3:14" ht="15.75" customHeight="1">
      <c r="C370" s="4"/>
      <c r="N370" s="3"/>
    </row>
    <row r="371" spans="3:14" ht="15.75" customHeight="1">
      <c r="C371" s="4"/>
      <c r="N371" s="3"/>
    </row>
    <row r="372" spans="3:14" ht="15.75" customHeight="1">
      <c r="C372" s="4"/>
      <c r="N372" s="3"/>
    </row>
    <row r="373" spans="3:14" ht="15.75" customHeight="1">
      <c r="C373" s="4"/>
      <c r="N373" s="3"/>
    </row>
    <row r="374" spans="3:14" ht="15.75" customHeight="1">
      <c r="C374" s="4"/>
      <c r="N374" s="3"/>
    </row>
    <row r="375" spans="3:14" ht="15.75" customHeight="1">
      <c r="C375" s="4"/>
      <c r="N375" s="3"/>
    </row>
    <row r="376" spans="3:14" ht="15.75" customHeight="1">
      <c r="C376" s="4"/>
      <c r="N376" s="3"/>
    </row>
    <row r="377" spans="3:14" ht="15.75" customHeight="1">
      <c r="C377" s="4"/>
      <c r="N377" s="3"/>
    </row>
    <row r="378" spans="3:14" ht="15.75" customHeight="1">
      <c r="C378" s="4"/>
      <c r="N378" s="3"/>
    </row>
    <row r="379" spans="3:14" ht="15.75" customHeight="1">
      <c r="C379" s="4"/>
      <c r="N379" s="3"/>
    </row>
    <row r="380" spans="3:14" ht="15.75" customHeight="1">
      <c r="C380" s="4"/>
      <c r="N380" s="3"/>
    </row>
    <row r="381" spans="3:14" ht="15.75" customHeight="1">
      <c r="C381" s="4"/>
      <c r="N381" s="3"/>
    </row>
    <row r="382" spans="3:14" ht="15.75" customHeight="1">
      <c r="C382" s="4"/>
      <c r="N382" s="3"/>
    </row>
    <row r="383" spans="3:14" ht="15.75" customHeight="1">
      <c r="C383" s="4"/>
      <c r="N383" s="3"/>
    </row>
    <row r="384" spans="3:14" ht="15.75" customHeight="1">
      <c r="C384" s="4"/>
      <c r="N384" s="3"/>
    </row>
    <row r="385" spans="3:14" ht="15.75" customHeight="1">
      <c r="C385" s="4"/>
      <c r="N385" s="3"/>
    </row>
    <row r="386" spans="3:14" ht="15.75" customHeight="1">
      <c r="C386" s="4"/>
      <c r="N386" s="3"/>
    </row>
    <row r="387" spans="3:14" ht="15.75" customHeight="1">
      <c r="C387" s="4"/>
      <c r="N387" s="3"/>
    </row>
    <row r="388" spans="3:14" ht="15.75" customHeight="1">
      <c r="C388" s="4"/>
      <c r="N388" s="3"/>
    </row>
    <row r="389" spans="3:14" ht="15.75" customHeight="1">
      <c r="C389" s="4"/>
      <c r="N389" s="3"/>
    </row>
    <row r="390" spans="3:14" ht="15.75" customHeight="1">
      <c r="C390" s="4"/>
      <c r="N390" s="3"/>
    </row>
    <row r="391" spans="3:14" ht="15.75" customHeight="1">
      <c r="C391" s="4"/>
      <c r="N391" s="3"/>
    </row>
    <row r="392" spans="3:14" ht="15.75" customHeight="1">
      <c r="C392" s="4"/>
      <c r="N392" s="3"/>
    </row>
    <row r="393" spans="3:14" ht="15.75" customHeight="1">
      <c r="C393" s="4"/>
      <c r="N393" s="3"/>
    </row>
    <row r="394" spans="3:14" ht="15.75" customHeight="1">
      <c r="C394" s="4"/>
      <c r="N394" s="3"/>
    </row>
    <row r="395" spans="3:14" ht="15.75" customHeight="1">
      <c r="C395" s="4"/>
      <c r="N395" s="3"/>
    </row>
    <row r="396" spans="3:14" ht="15.75" customHeight="1">
      <c r="C396" s="4"/>
      <c r="N396" s="3"/>
    </row>
    <row r="397" spans="3:14" ht="15.75" customHeight="1">
      <c r="C397" s="4"/>
      <c r="N397" s="3"/>
    </row>
    <row r="398" spans="3:14" ht="15.75" customHeight="1">
      <c r="C398" s="4"/>
      <c r="N398" s="3"/>
    </row>
    <row r="399" spans="3:14" ht="15.75" customHeight="1">
      <c r="C399" s="4"/>
      <c r="N399" s="3"/>
    </row>
    <row r="400" spans="3:14" ht="15.75" customHeight="1">
      <c r="C400" s="4"/>
      <c r="N400" s="3"/>
    </row>
    <row r="401" spans="3:14" ht="15.75" customHeight="1">
      <c r="C401" s="4"/>
      <c r="N401" s="3"/>
    </row>
    <row r="402" spans="3:14" ht="15.75" customHeight="1">
      <c r="C402" s="4"/>
      <c r="N402" s="3"/>
    </row>
    <row r="403" spans="3:14" ht="15.75" customHeight="1">
      <c r="C403" s="4"/>
      <c r="N403" s="3"/>
    </row>
    <row r="404" spans="3:14" ht="15.75" customHeight="1">
      <c r="C404" s="4"/>
      <c r="N404" s="3"/>
    </row>
    <row r="405" spans="3:14" ht="15.75" customHeight="1">
      <c r="C405" s="4"/>
      <c r="N405" s="3"/>
    </row>
    <row r="406" spans="3:14" ht="15.75" customHeight="1">
      <c r="C406" s="4"/>
      <c r="N406" s="3"/>
    </row>
    <row r="407" spans="3:14" ht="15.75" customHeight="1">
      <c r="C407" s="4"/>
      <c r="N407" s="3"/>
    </row>
    <row r="408" spans="3:14" ht="15.75" customHeight="1">
      <c r="C408" s="4"/>
      <c r="N408" s="3"/>
    </row>
    <row r="409" spans="3:14" ht="15.75" customHeight="1">
      <c r="C409" s="4"/>
      <c r="N409" s="3"/>
    </row>
    <row r="410" spans="3:14" ht="15.75" customHeight="1">
      <c r="C410" s="4"/>
      <c r="N410" s="3"/>
    </row>
    <row r="411" spans="3:14" ht="15.75" customHeight="1">
      <c r="C411" s="4"/>
      <c r="N411" s="3"/>
    </row>
    <row r="412" spans="3:14" ht="15.75" customHeight="1">
      <c r="C412" s="4"/>
      <c r="N412" s="3"/>
    </row>
    <row r="413" spans="3:14" ht="15.75" customHeight="1">
      <c r="C413" s="4"/>
      <c r="N413" s="3"/>
    </row>
    <row r="414" spans="3:14" ht="15.75" customHeight="1">
      <c r="C414" s="4"/>
      <c r="N414" s="3"/>
    </row>
    <row r="415" spans="3:14" ht="15.75" customHeight="1">
      <c r="C415" s="4"/>
      <c r="N415" s="3"/>
    </row>
    <row r="416" spans="3:14" ht="15.75" customHeight="1">
      <c r="C416" s="4"/>
      <c r="N416" s="3"/>
    </row>
    <row r="417" spans="3:14" ht="15.75" customHeight="1">
      <c r="C417" s="4"/>
      <c r="N417" s="3"/>
    </row>
    <row r="418" spans="3:14" ht="15.75" customHeight="1">
      <c r="C418" s="4"/>
      <c r="N418" s="3"/>
    </row>
    <row r="419" spans="3:14" ht="15.75" customHeight="1">
      <c r="C419" s="4"/>
      <c r="N419" s="3"/>
    </row>
    <row r="420" spans="3:14" ht="15.75" customHeight="1">
      <c r="C420" s="4"/>
      <c r="N420" s="3"/>
    </row>
    <row r="421" spans="3:14" ht="15.75" customHeight="1">
      <c r="C421" s="4"/>
      <c r="N421" s="3"/>
    </row>
    <row r="422" spans="3:14" ht="15.75" customHeight="1">
      <c r="C422" s="4"/>
      <c r="N422" s="3"/>
    </row>
    <row r="423" spans="3:14" ht="15.75" customHeight="1">
      <c r="C423" s="4"/>
      <c r="N423" s="3"/>
    </row>
    <row r="424" spans="3:14" ht="15.75" customHeight="1">
      <c r="C424" s="4"/>
      <c r="N424" s="3"/>
    </row>
    <row r="425" spans="3:14" ht="15.75" customHeight="1">
      <c r="C425" s="4"/>
      <c r="N425" s="3"/>
    </row>
    <row r="426" spans="3:14" ht="15.75" customHeight="1">
      <c r="C426" s="4"/>
      <c r="N426" s="3"/>
    </row>
    <row r="427" spans="3:14" ht="15.75" customHeight="1">
      <c r="C427" s="4"/>
      <c r="N427" s="3"/>
    </row>
    <row r="428" spans="3:14" ht="15.75" customHeight="1">
      <c r="C428" s="4"/>
      <c r="N428" s="3"/>
    </row>
    <row r="429" spans="3:14" ht="15.75" customHeight="1">
      <c r="C429" s="4"/>
      <c r="N429" s="3"/>
    </row>
    <row r="430" spans="3:14" ht="15.75" customHeight="1">
      <c r="C430" s="4"/>
      <c r="N430" s="3"/>
    </row>
    <row r="431" spans="3:14" ht="15.75" customHeight="1">
      <c r="C431" s="4"/>
      <c r="N431" s="3"/>
    </row>
    <row r="432" spans="3:14" ht="15.75" customHeight="1">
      <c r="C432" s="4"/>
      <c r="N432" s="3"/>
    </row>
    <row r="433" spans="3:14" ht="15.75" customHeight="1">
      <c r="C433" s="4"/>
      <c r="N433" s="3"/>
    </row>
    <row r="434" spans="3:14" ht="15.75" customHeight="1">
      <c r="C434" s="4"/>
      <c r="N434" s="3"/>
    </row>
    <row r="435" spans="3:14" ht="15.75" customHeight="1">
      <c r="C435" s="4"/>
      <c r="N435" s="3"/>
    </row>
    <row r="436" spans="3:14" ht="15.75" customHeight="1">
      <c r="C436" s="4"/>
      <c r="N436" s="3"/>
    </row>
    <row r="437" spans="3:14" ht="15.75" customHeight="1">
      <c r="C437" s="4"/>
      <c r="N437" s="3"/>
    </row>
    <row r="438" spans="3:14" ht="15.75" customHeight="1">
      <c r="C438" s="4"/>
      <c r="N438" s="3"/>
    </row>
    <row r="439" spans="3:14" ht="15.75" customHeight="1">
      <c r="C439" s="4"/>
      <c r="N439" s="3"/>
    </row>
    <row r="440" spans="3:14" ht="15.75" customHeight="1">
      <c r="C440" s="4"/>
      <c r="N440" s="3"/>
    </row>
    <row r="441" spans="3:14" ht="15.75" customHeight="1">
      <c r="C441" s="4"/>
      <c r="N441" s="3"/>
    </row>
    <row r="442" spans="3:14" ht="15.75" customHeight="1">
      <c r="C442" s="4"/>
      <c r="N442" s="3"/>
    </row>
    <row r="443" spans="3:14" ht="15.75" customHeight="1">
      <c r="C443" s="4"/>
      <c r="N443" s="3"/>
    </row>
    <row r="444" spans="3:14" ht="15.75" customHeight="1">
      <c r="C444" s="4"/>
      <c r="N444" s="3"/>
    </row>
    <row r="445" spans="3:14" ht="15.75" customHeight="1">
      <c r="C445" s="4"/>
      <c r="N445" s="3"/>
    </row>
    <row r="446" spans="3:14" ht="15.75" customHeight="1">
      <c r="C446" s="4"/>
      <c r="N446" s="3"/>
    </row>
    <row r="447" spans="3:14" ht="15.75" customHeight="1">
      <c r="C447" s="4"/>
      <c r="N447" s="3"/>
    </row>
    <row r="448" spans="3:14" ht="15.75" customHeight="1">
      <c r="C448" s="4"/>
      <c r="N448" s="3"/>
    </row>
    <row r="449" spans="3:14" ht="15.75" customHeight="1">
      <c r="C449" s="4"/>
      <c r="N449" s="3"/>
    </row>
    <row r="450" spans="3:14" ht="15.75" customHeight="1">
      <c r="C450" s="4"/>
      <c r="N450" s="3"/>
    </row>
    <row r="451" spans="3:14" ht="15.75" customHeight="1">
      <c r="C451" s="4"/>
      <c r="N451" s="3"/>
    </row>
    <row r="452" spans="3:14" ht="15.75" customHeight="1">
      <c r="C452" s="4"/>
      <c r="N452" s="3"/>
    </row>
    <row r="453" spans="3:14" ht="15.75" customHeight="1">
      <c r="C453" s="4"/>
      <c r="N453" s="3"/>
    </row>
    <row r="454" spans="3:14" ht="15.75" customHeight="1">
      <c r="C454" s="4"/>
      <c r="N454" s="3"/>
    </row>
    <row r="455" spans="3:14" ht="15.75" customHeight="1">
      <c r="C455" s="4"/>
      <c r="N455" s="3"/>
    </row>
    <row r="456" spans="3:14" ht="15.75" customHeight="1">
      <c r="C456" s="4"/>
      <c r="N456" s="3"/>
    </row>
    <row r="457" spans="3:14" ht="15.75" customHeight="1">
      <c r="C457" s="4"/>
      <c r="N457" s="3"/>
    </row>
    <row r="458" spans="3:14" ht="15.75" customHeight="1">
      <c r="C458" s="4"/>
      <c r="N458" s="3"/>
    </row>
    <row r="459" spans="3:14" ht="15.75" customHeight="1">
      <c r="C459" s="4"/>
      <c r="N459" s="3"/>
    </row>
    <row r="460" spans="3:14" ht="15.75" customHeight="1">
      <c r="C460" s="4"/>
      <c r="N460" s="3"/>
    </row>
    <row r="461" spans="3:14" ht="15.75" customHeight="1">
      <c r="C461" s="4"/>
      <c r="N461" s="3"/>
    </row>
    <row r="462" spans="3:14" ht="15.75" customHeight="1">
      <c r="C462" s="4"/>
      <c r="N462" s="3"/>
    </row>
    <row r="463" spans="3:14" ht="15.75" customHeight="1">
      <c r="C463" s="4"/>
      <c r="N463" s="3"/>
    </row>
    <row r="464" spans="3:14" ht="15.75" customHeight="1">
      <c r="C464" s="4"/>
      <c r="N464" s="3"/>
    </row>
    <row r="465" spans="3:14" ht="15.75" customHeight="1">
      <c r="C465" s="4"/>
      <c r="N465" s="3"/>
    </row>
    <row r="466" spans="3:14" ht="15.75" customHeight="1">
      <c r="C466" s="4"/>
      <c r="N466" s="3"/>
    </row>
    <row r="467" spans="3:14" ht="15.75" customHeight="1">
      <c r="C467" s="4"/>
      <c r="N467" s="3"/>
    </row>
    <row r="468" spans="3:14" ht="15.75" customHeight="1">
      <c r="C468" s="4"/>
      <c r="N468" s="3"/>
    </row>
    <row r="469" spans="3:14" ht="15.75" customHeight="1">
      <c r="C469" s="4"/>
      <c r="N469" s="3"/>
    </row>
    <row r="470" spans="3:14" ht="15.75" customHeight="1">
      <c r="C470" s="4"/>
      <c r="N470" s="3"/>
    </row>
    <row r="471" spans="3:14" ht="15.75" customHeight="1">
      <c r="C471" s="4"/>
      <c r="N471" s="3"/>
    </row>
    <row r="472" spans="3:14" ht="15.75" customHeight="1">
      <c r="C472" s="4"/>
      <c r="N472" s="3"/>
    </row>
    <row r="473" spans="3:14" ht="15.75" customHeight="1">
      <c r="C473" s="4"/>
      <c r="N473" s="3"/>
    </row>
    <row r="474" spans="3:14" ht="15.75" customHeight="1">
      <c r="C474" s="4"/>
      <c r="N474" s="3"/>
    </row>
    <row r="475" spans="3:14" ht="15.75" customHeight="1">
      <c r="C475" s="4"/>
      <c r="N475" s="3"/>
    </row>
    <row r="476" spans="3:14" ht="15.75" customHeight="1">
      <c r="C476" s="4"/>
      <c r="N476" s="3"/>
    </row>
    <row r="477" spans="3:14" ht="15.75" customHeight="1">
      <c r="C477" s="4"/>
      <c r="N477" s="3"/>
    </row>
    <row r="478" spans="3:14" ht="15.75" customHeight="1">
      <c r="C478" s="4"/>
      <c r="N478" s="3"/>
    </row>
    <row r="479" spans="3:14" ht="15.75" customHeight="1">
      <c r="C479" s="4"/>
      <c r="N479" s="3"/>
    </row>
    <row r="480" spans="3:14" ht="15.75" customHeight="1">
      <c r="C480" s="4"/>
      <c r="N480" s="3"/>
    </row>
    <row r="481" spans="3:14" ht="15.75" customHeight="1">
      <c r="C481" s="4"/>
      <c r="N481" s="3"/>
    </row>
    <row r="482" spans="3:14" ht="15.75" customHeight="1">
      <c r="C482" s="4"/>
      <c r="N482" s="3"/>
    </row>
    <row r="483" spans="3:14" ht="15.75" customHeight="1">
      <c r="C483" s="4"/>
      <c r="N483" s="3"/>
    </row>
    <row r="484" spans="3:14" ht="15.75" customHeight="1">
      <c r="C484" s="4"/>
      <c r="N484" s="3"/>
    </row>
    <row r="485" spans="3:14" ht="15.75" customHeight="1">
      <c r="C485" s="4"/>
      <c r="N485" s="3"/>
    </row>
    <row r="486" spans="3:14" ht="15.75" customHeight="1">
      <c r="C486" s="4"/>
      <c r="N486" s="3"/>
    </row>
    <row r="487" spans="3:14" ht="15.75" customHeight="1">
      <c r="C487" s="4"/>
      <c r="N487" s="3"/>
    </row>
    <row r="488" spans="3:14" ht="15.75" customHeight="1">
      <c r="C488" s="4"/>
      <c r="N488" s="3"/>
    </row>
    <row r="489" spans="3:14" ht="15.75" customHeight="1">
      <c r="C489" s="4"/>
      <c r="N489" s="3"/>
    </row>
    <row r="490" spans="3:14" ht="15.75" customHeight="1">
      <c r="C490" s="4"/>
      <c r="N490" s="3"/>
    </row>
    <row r="491" spans="3:14" ht="15.75" customHeight="1">
      <c r="C491" s="4"/>
      <c r="N491" s="3"/>
    </row>
    <row r="492" spans="3:14" ht="15.75" customHeight="1">
      <c r="C492" s="4"/>
      <c r="N492" s="3"/>
    </row>
    <row r="493" spans="3:14" ht="15.75" customHeight="1">
      <c r="C493" s="4"/>
      <c r="N493" s="3"/>
    </row>
    <row r="494" spans="3:14" ht="15.75" customHeight="1">
      <c r="C494" s="4"/>
      <c r="N494" s="3"/>
    </row>
    <row r="495" spans="3:14" ht="15.75" customHeight="1">
      <c r="C495" s="4"/>
      <c r="N495" s="3"/>
    </row>
    <row r="496" spans="3:14" ht="15.75" customHeight="1">
      <c r="C496" s="4"/>
      <c r="N496" s="3"/>
    </row>
    <row r="497" spans="3:14" ht="15.75" customHeight="1">
      <c r="C497" s="4"/>
      <c r="N497" s="3"/>
    </row>
    <row r="498" spans="3:14" ht="15.75" customHeight="1">
      <c r="C498" s="4"/>
      <c r="N498" s="3"/>
    </row>
    <row r="499" spans="3:14" ht="15.75" customHeight="1">
      <c r="C499" s="4"/>
      <c r="N499" s="3"/>
    </row>
    <row r="500" spans="3:14" ht="15.75" customHeight="1">
      <c r="C500" s="4"/>
      <c r="N500" s="3"/>
    </row>
    <row r="501" spans="3:14" ht="15.75" customHeight="1">
      <c r="C501" s="4"/>
      <c r="N501" s="3"/>
    </row>
    <row r="502" spans="3:14" ht="15.75" customHeight="1">
      <c r="C502" s="4"/>
      <c r="N502" s="3"/>
    </row>
    <row r="503" spans="3:14" ht="15.75" customHeight="1">
      <c r="C503" s="4"/>
      <c r="N503" s="3"/>
    </row>
    <row r="504" spans="3:14" ht="15.75" customHeight="1">
      <c r="C504" s="4"/>
      <c r="N504" s="3"/>
    </row>
    <row r="505" spans="3:14" ht="15.75" customHeight="1">
      <c r="C505" s="4"/>
      <c r="N505" s="3"/>
    </row>
    <row r="506" spans="3:14" ht="15.75" customHeight="1">
      <c r="C506" s="4"/>
      <c r="N506" s="3"/>
    </row>
    <row r="507" spans="3:14" ht="15.75" customHeight="1">
      <c r="C507" s="4"/>
      <c r="N507" s="3"/>
    </row>
    <row r="508" spans="3:14" ht="15.75" customHeight="1">
      <c r="C508" s="4"/>
      <c r="N508" s="3"/>
    </row>
    <row r="509" spans="3:14" ht="15.75" customHeight="1">
      <c r="C509" s="4"/>
      <c r="N509" s="3"/>
    </row>
    <row r="510" spans="3:14" ht="15.75" customHeight="1">
      <c r="C510" s="4"/>
      <c r="N510" s="3"/>
    </row>
    <row r="511" spans="3:14" ht="15.75" customHeight="1">
      <c r="C511" s="4"/>
      <c r="N511" s="3"/>
    </row>
    <row r="512" spans="3:14" ht="15.75" customHeight="1">
      <c r="C512" s="4"/>
      <c r="N512" s="3"/>
    </row>
    <row r="513" spans="3:14" ht="15.75" customHeight="1">
      <c r="C513" s="4"/>
      <c r="N513" s="3"/>
    </row>
    <row r="514" spans="3:14" ht="15.75" customHeight="1">
      <c r="C514" s="4"/>
      <c r="N514" s="3"/>
    </row>
    <row r="515" spans="3:14" ht="15.75" customHeight="1">
      <c r="C515" s="4"/>
      <c r="N515" s="3"/>
    </row>
    <row r="516" spans="3:14" ht="15.75" customHeight="1">
      <c r="C516" s="4"/>
      <c r="N516" s="3"/>
    </row>
    <row r="517" spans="3:14" ht="15.75" customHeight="1">
      <c r="C517" s="4"/>
      <c r="N517" s="3"/>
    </row>
    <row r="518" spans="3:14" ht="15.75" customHeight="1">
      <c r="C518" s="4"/>
      <c r="N518" s="3"/>
    </row>
    <row r="519" spans="3:14" ht="15.75" customHeight="1">
      <c r="C519" s="4"/>
      <c r="N519" s="3"/>
    </row>
    <row r="520" spans="3:14" ht="15.75" customHeight="1">
      <c r="C520" s="4"/>
      <c r="N520" s="3"/>
    </row>
    <row r="521" spans="3:14" ht="15.75" customHeight="1">
      <c r="C521" s="4"/>
      <c r="N521" s="3"/>
    </row>
    <row r="522" spans="3:14" ht="15.75" customHeight="1">
      <c r="C522" s="4"/>
      <c r="N522" s="3"/>
    </row>
    <row r="523" spans="3:14" ht="15.75" customHeight="1">
      <c r="C523" s="4"/>
      <c r="N523" s="3"/>
    </row>
    <row r="524" spans="3:14" ht="15.75" customHeight="1">
      <c r="C524" s="4"/>
      <c r="N524" s="3"/>
    </row>
    <row r="525" spans="3:14" ht="15.75" customHeight="1">
      <c r="C525" s="4"/>
      <c r="N525" s="3"/>
    </row>
    <row r="526" spans="3:14" ht="15.75" customHeight="1">
      <c r="C526" s="4"/>
      <c r="N526" s="3"/>
    </row>
    <row r="527" spans="3:14" ht="15.75" customHeight="1">
      <c r="C527" s="4"/>
      <c r="N527" s="3"/>
    </row>
    <row r="528" spans="3:14" ht="15.75" customHeight="1">
      <c r="C528" s="4"/>
      <c r="N528" s="3"/>
    </row>
    <row r="529" spans="3:14" ht="15.75" customHeight="1">
      <c r="C529" s="4"/>
      <c r="N529" s="3"/>
    </row>
    <row r="530" spans="3:14" ht="15.75" customHeight="1">
      <c r="C530" s="4"/>
      <c r="N530" s="3"/>
    </row>
    <row r="531" spans="3:14" ht="15.75" customHeight="1">
      <c r="C531" s="4"/>
      <c r="N531" s="3"/>
    </row>
    <row r="532" spans="3:14" ht="15.75" customHeight="1">
      <c r="C532" s="4"/>
      <c r="N532" s="3"/>
    </row>
    <row r="533" spans="3:14" ht="15.75" customHeight="1">
      <c r="C533" s="4"/>
      <c r="N533" s="3"/>
    </row>
    <row r="534" spans="3:14" ht="15.75" customHeight="1">
      <c r="C534" s="4"/>
      <c r="N534" s="3"/>
    </row>
    <row r="535" spans="3:14" ht="15.75" customHeight="1">
      <c r="C535" s="4"/>
      <c r="N535" s="3"/>
    </row>
    <row r="536" spans="3:14" ht="15.75" customHeight="1">
      <c r="C536" s="4"/>
      <c r="N536" s="3"/>
    </row>
    <row r="537" spans="3:14" ht="15.75" customHeight="1">
      <c r="C537" s="4"/>
      <c r="N537" s="3"/>
    </row>
    <row r="538" spans="3:14" ht="15.75" customHeight="1">
      <c r="C538" s="4"/>
      <c r="N538" s="3"/>
    </row>
    <row r="539" spans="3:14" ht="15.75" customHeight="1">
      <c r="C539" s="4"/>
      <c r="N539" s="3"/>
    </row>
    <row r="540" spans="3:14" ht="15.75" customHeight="1">
      <c r="C540" s="4"/>
      <c r="N540" s="3"/>
    </row>
    <row r="541" spans="3:14" ht="15.75" customHeight="1">
      <c r="C541" s="4"/>
      <c r="N541" s="3"/>
    </row>
    <row r="542" spans="3:14" ht="15.75" customHeight="1">
      <c r="C542" s="4"/>
      <c r="N542" s="3"/>
    </row>
    <row r="543" spans="3:14" ht="15.75" customHeight="1">
      <c r="C543" s="4"/>
      <c r="N543" s="3"/>
    </row>
    <row r="544" spans="3:14" ht="15.75" customHeight="1">
      <c r="C544" s="4"/>
      <c r="N544" s="3"/>
    </row>
    <row r="545" spans="3:14" ht="15.75" customHeight="1">
      <c r="C545" s="4"/>
      <c r="N545" s="3"/>
    </row>
    <row r="546" spans="3:14" ht="15.75" customHeight="1">
      <c r="C546" s="4"/>
      <c r="N546" s="3"/>
    </row>
    <row r="547" spans="3:14" ht="15.75" customHeight="1">
      <c r="C547" s="4"/>
      <c r="N547" s="3"/>
    </row>
    <row r="548" spans="3:14" ht="15.75" customHeight="1">
      <c r="C548" s="4"/>
      <c r="N548" s="3"/>
    </row>
    <row r="549" spans="3:14" ht="15.75" customHeight="1">
      <c r="C549" s="4"/>
      <c r="N549" s="3"/>
    </row>
    <row r="550" spans="3:14" ht="15.75" customHeight="1">
      <c r="C550" s="4"/>
      <c r="N550" s="3"/>
    </row>
    <row r="551" spans="3:14" ht="15.75" customHeight="1">
      <c r="C551" s="4"/>
      <c r="N551" s="3"/>
    </row>
    <row r="552" spans="3:14" ht="15.75" customHeight="1">
      <c r="C552" s="4"/>
      <c r="N552" s="3"/>
    </row>
    <row r="553" spans="3:14" ht="15.75" customHeight="1">
      <c r="C553" s="4"/>
      <c r="N553" s="3"/>
    </row>
    <row r="554" spans="3:14" ht="15.75" customHeight="1">
      <c r="C554" s="4"/>
      <c r="N554" s="3"/>
    </row>
    <row r="555" spans="3:14" ht="15.75" customHeight="1">
      <c r="C555" s="4"/>
      <c r="N555" s="3"/>
    </row>
    <row r="556" spans="3:14" ht="15.75" customHeight="1">
      <c r="C556" s="4"/>
      <c r="N556" s="3"/>
    </row>
    <row r="557" spans="3:14" ht="15.75" customHeight="1">
      <c r="C557" s="4"/>
      <c r="N557" s="3"/>
    </row>
    <row r="558" spans="3:14" ht="15.75" customHeight="1">
      <c r="C558" s="4"/>
      <c r="N558" s="3"/>
    </row>
    <row r="559" spans="3:14" ht="15.75" customHeight="1">
      <c r="C559" s="4"/>
      <c r="N559" s="3"/>
    </row>
    <row r="560" spans="3:14" ht="15.75" customHeight="1">
      <c r="C560" s="4"/>
      <c r="N560" s="3"/>
    </row>
    <row r="561" spans="3:14" ht="15.75" customHeight="1">
      <c r="C561" s="4"/>
      <c r="N561" s="3"/>
    </row>
    <row r="562" spans="3:14" ht="15.75" customHeight="1">
      <c r="C562" s="4"/>
      <c r="N562" s="3"/>
    </row>
    <row r="563" spans="3:14" ht="15.75" customHeight="1">
      <c r="C563" s="4"/>
      <c r="N563" s="3"/>
    </row>
    <row r="564" spans="3:14" ht="15.75" customHeight="1">
      <c r="C564" s="4"/>
      <c r="N564" s="3"/>
    </row>
    <row r="565" spans="3:14" ht="15.75" customHeight="1">
      <c r="C565" s="4"/>
      <c r="N565" s="3"/>
    </row>
    <row r="566" spans="3:14" ht="15.75" customHeight="1">
      <c r="C566" s="4"/>
      <c r="N566" s="3"/>
    </row>
    <row r="567" spans="3:14" ht="15.75" customHeight="1">
      <c r="C567" s="4"/>
      <c r="N567" s="3"/>
    </row>
    <row r="568" spans="3:14" ht="15.75" customHeight="1">
      <c r="C568" s="4"/>
      <c r="N568" s="3"/>
    </row>
    <row r="569" spans="3:14" ht="15.75" customHeight="1">
      <c r="C569" s="4"/>
      <c r="N569" s="3"/>
    </row>
    <row r="570" spans="3:14" ht="15.75" customHeight="1">
      <c r="C570" s="4"/>
      <c r="N570" s="3"/>
    </row>
    <row r="571" spans="3:14" ht="15.75" customHeight="1">
      <c r="C571" s="4"/>
      <c r="N571" s="3"/>
    </row>
    <row r="572" spans="3:14" ht="15.75" customHeight="1">
      <c r="C572" s="4"/>
      <c r="N572" s="3"/>
    </row>
    <row r="573" spans="3:14" ht="15.75" customHeight="1">
      <c r="C573" s="4"/>
      <c r="N573" s="3"/>
    </row>
    <row r="574" spans="3:14" ht="15.75" customHeight="1">
      <c r="C574" s="4"/>
      <c r="N574" s="3"/>
    </row>
    <row r="575" spans="3:14" ht="15.75" customHeight="1">
      <c r="C575" s="4"/>
      <c r="N575" s="3"/>
    </row>
    <row r="576" spans="3:14" ht="15.75" customHeight="1">
      <c r="C576" s="4"/>
      <c r="N576" s="3"/>
    </row>
    <row r="577" spans="3:14" ht="15.75" customHeight="1">
      <c r="C577" s="4"/>
      <c r="N577" s="3"/>
    </row>
    <row r="578" spans="3:14" ht="15.75" customHeight="1">
      <c r="C578" s="4"/>
      <c r="N578" s="3"/>
    </row>
    <row r="579" spans="3:14" ht="15.75" customHeight="1">
      <c r="C579" s="4"/>
      <c r="N579" s="3"/>
    </row>
    <row r="580" spans="3:14" ht="15.75" customHeight="1">
      <c r="C580" s="4"/>
      <c r="N580" s="3"/>
    </row>
    <row r="581" spans="3:14" ht="15.75" customHeight="1">
      <c r="C581" s="4"/>
      <c r="N581" s="3"/>
    </row>
    <row r="582" spans="3:14" ht="15.75" customHeight="1">
      <c r="C582" s="4"/>
      <c r="N582" s="3"/>
    </row>
    <row r="583" spans="3:14" ht="15.75" customHeight="1">
      <c r="C583" s="4"/>
      <c r="N583" s="3"/>
    </row>
    <row r="584" spans="3:14" ht="15.75" customHeight="1">
      <c r="C584" s="4"/>
      <c r="N584" s="3"/>
    </row>
    <row r="585" spans="3:14" ht="15.75" customHeight="1">
      <c r="C585" s="4"/>
      <c r="N585" s="3"/>
    </row>
    <row r="586" spans="3:14" ht="15.75" customHeight="1">
      <c r="C586" s="4"/>
      <c r="N586" s="3"/>
    </row>
    <row r="587" spans="3:14" ht="15.75" customHeight="1">
      <c r="C587" s="4"/>
      <c r="N587" s="3"/>
    </row>
    <row r="588" spans="3:14" ht="15.75" customHeight="1">
      <c r="C588" s="4"/>
      <c r="N588" s="3"/>
    </row>
    <row r="589" spans="3:14" ht="15.75" customHeight="1">
      <c r="C589" s="4"/>
      <c r="N589" s="3"/>
    </row>
    <row r="590" spans="3:14" ht="15.75" customHeight="1">
      <c r="C590" s="4"/>
      <c r="N590" s="3"/>
    </row>
    <row r="591" spans="3:14" ht="15.75" customHeight="1">
      <c r="C591" s="4"/>
      <c r="N591" s="3"/>
    </row>
    <row r="592" spans="3:14" ht="15.75" customHeight="1">
      <c r="C592" s="4"/>
      <c r="N592" s="3"/>
    </row>
    <row r="593" spans="3:14" ht="15.75" customHeight="1">
      <c r="C593" s="4"/>
      <c r="N593" s="3"/>
    </row>
    <row r="594" spans="3:14" ht="15.75" customHeight="1">
      <c r="C594" s="4"/>
      <c r="N594" s="3"/>
    </row>
    <row r="595" spans="3:14" ht="15.75" customHeight="1">
      <c r="C595" s="4"/>
      <c r="N595" s="3"/>
    </row>
    <row r="596" spans="3:14" ht="15.75" customHeight="1">
      <c r="C596" s="4"/>
      <c r="N596" s="3"/>
    </row>
    <row r="597" spans="3:14" ht="15.75" customHeight="1">
      <c r="C597" s="4"/>
      <c r="N597" s="3"/>
    </row>
    <row r="598" spans="3:14" ht="15.75" customHeight="1">
      <c r="C598" s="4"/>
      <c r="N598" s="3"/>
    </row>
    <row r="599" spans="3:14" ht="15.75" customHeight="1">
      <c r="C599" s="4"/>
      <c r="N599" s="3"/>
    </row>
    <row r="600" spans="3:14" ht="15.75" customHeight="1">
      <c r="C600" s="4"/>
      <c r="N600" s="3"/>
    </row>
    <row r="601" spans="3:14" ht="15.75" customHeight="1">
      <c r="C601" s="4"/>
      <c r="N601" s="3"/>
    </row>
    <row r="602" spans="3:14" ht="15.75" customHeight="1">
      <c r="C602" s="4"/>
      <c r="N602" s="3"/>
    </row>
    <row r="603" spans="3:14" ht="15.75" customHeight="1">
      <c r="C603" s="4"/>
      <c r="N603" s="3"/>
    </row>
    <row r="604" spans="3:14" ht="15.75" customHeight="1">
      <c r="C604" s="4"/>
      <c r="N604" s="3"/>
    </row>
    <row r="605" spans="3:14" ht="15.75" customHeight="1">
      <c r="C605" s="4"/>
      <c r="N605" s="3"/>
    </row>
    <row r="606" spans="3:14" ht="15.75" customHeight="1">
      <c r="C606" s="4"/>
      <c r="N606" s="3"/>
    </row>
    <row r="607" spans="3:14" ht="15.75" customHeight="1">
      <c r="C607" s="4"/>
      <c r="N607" s="3"/>
    </row>
    <row r="608" spans="3:14" ht="15.75" customHeight="1">
      <c r="C608" s="4"/>
      <c r="N608" s="3"/>
    </row>
    <row r="609" spans="3:14" ht="15.75" customHeight="1">
      <c r="C609" s="4"/>
      <c r="N609" s="3"/>
    </row>
    <row r="610" spans="3:14" ht="15.75" customHeight="1">
      <c r="C610" s="4"/>
      <c r="N610" s="3"/>
    </row>
    <row r="611" spans="3:14" ht="15.75" customHeight="1">
      <c r="C611" s="4"/>
      <c r="N611" s="3"/>
    </row>
    <row r="612" spans="3:14" ht="15.75" customHeight="1">
      <c r="C612" s="4"/>
      <c r="N612" s="3"/>
    </row>
    <row r="613" spans="3:14" ht="15.75" customHeight="1">
      <c r="C613" s="4"/>
      <c r="N613" s="3"/>
    </row>
    <row r="614" spans="3:14" ht="15.75" customHeight="1">
      <c r="C614" s="4"/>
      <c r="N614" s="3"/>
    </row>
    <row r="615" spans="3:14" ht="15.75" customHeight="1">
      <c r="C615" s="4"/>
      <c r="N615" s="3"/>
    </row>
    <row r="616" spans="3:14" ht="15.75" customHeight="1">
      <c r="C616" s="4"/>
      <c r="N616" s="3"/>
    </row>
    <row r="617" spans="3:14" ht="15.75" customHeight="1">
      <c r="C617" s="4"/>
      <c r="N617" s="3"/>
    </row>
    <row r="618" spans="3:14" ht="15.75" customHeight="1">
      <c r="C618" s="4"/>
      <c r="N618" s="3"/>
    </row>
    <row r="619" spans="3:14" ht="15.75" customHeight="1">
      <c r="C619" s="4"/>
      <c r="N619" s="3"/>
    </row>
    <row r="620" spans="3:14" ht="15.75" customHeight="1">
      <c r="C620" s="4"/>
      <c r="N620" s="3"/>
    </row>
    <row r="621" spans="3:14" ht="15.75" customHeight="1">
      <c r="C621" s="4"/>
      <c r="N621" s="3"/>
    </row>
    <row r="622" spans="3:14" ht="15.75" customHeight="1">
      <c r="C622" s="4"/>
      <c r="N622" s="3"/>
    </row>
    <row r="623" spans="3:14" ht="15.75" customHeight="1">
      <c r="C623" s="4"/>
      <c r="N623" s="3"/>
    </row>
    <row r="624" spans="3:14" ht="15.75" customHeight="1">
      <c r="C624" s="4"/>
      <c r="N624" s="3"/>
    </row>
    <row r="625" spans="3:14" ht="15.75" customHeight="1">
      <c r="C625" s="4"/>
      <c r="N625" s="3"/>
    </row>
    <row r="626" spans="3:14" ht="15.75" customHeight="1">
      <c r="C626" s="4"/>
      <c r="N626" s="3"/>
    </row>
    <row r="627" spans="3:14" ht="15.75" customHeight="1">
      <c r="C627" s="4"/>
      <c r="N627" s="3"/>
    </row>
    <row r="628" spans="3:14" ht="15.75" customHeight="1">
      <c r="C628" s="4"/>
      <c r="N628" s="3"/>
    </row>
    <row r="629" spans="3:14" ht="15.75" customHeight="1">
      <c r="C629" s="4"/>
      <c r="N629" s="3"/>
    </row>
    <row r="630" spans="3:14" ht="15.75" customHeight="1">
      <c r="C630" s="4"/>
      <c r="N630" s="3"/>
    </row>
    <row r="631" spans="3:14" ht="15.75" customHeight="1">
      <c r="C631" s="4"/>
      <c r="N631" s="3"/>
    </row>
    <row r="632" spans="3:14" ht="15.75" customHeight="1">
      <c r="C632" s="4"/>
      <c r="N632" s="3"/>
    </row>
    <row r="633" spans="3:14" ht="15.75" customHeight="1">
      <c r="C633" s="4"/>
      <c r="N633" s="3"/>
    </row>
    <row r="634" spans="3:14" ht="15.75" customHeight="1">
      <c r="C634" s="4"/>
      <c r="N634" s="3"/>
    </row>
    <row r="635" spans="3:14" ht="15.75" customHeight="1">
      <c r="C635" s="4"/>
      <c r="N635" s="3"/>
    </row>
    <row r="636" spans="3:14" ht="15.75" customHeight="1">
      <c r="C636" s="4"/>
      <c r="N636" s="3"/>
    </row>
    <row r="637" spans="3:14" ht="15.75" customHeight="1">
      <c r="C637" s="4"/>
      <c r="N637" s="3"/>
    </row>
    <row r="638" spans="3:14" ht="15.75" customHeight="1">
      <c r="C638" s="4"/>
      <c r="N638" s="3"/>
    </row>
    <row r="639" spans="3:14" ht="15.75" customHeight="1">
      <c r="C639" s="4"/>
      <c r="N639" s="3"/>
    </row>
    <row r="640" spans="3:14" ht="15.75" customHeight="1">
      <c r="C640" s="4"/>
      <c r="N640" s="3"/>
    </row>
    <row r="641" spans="3:14" ht="15.75" customHeight="1">
      <c r="C641" s="4"/>
      <c r="N641" s="3"/>
    </row>
    <row r="642" spans="3:14" ht="15.75" customHeight="1">
      <c r="C642" s="4"/>
      <c r="N642" s="3"/>
    </row>
    <row r="643" spans="3:14" ht="15.75" customHeight="1">
      <c r="C643" s="4"/>
      <c r="N643" s="3"/>
    </row>
    <row r="644" spans="3:14" ht="15.75" customHeight="1">
      <c r="C644" s="4"/>
      <c r="N644" s="3"/>
    </row>
    <row r="645" spans="3:14" ht="15.75" customHeight="1">
      <c r="C645" s="4"/>
      <c r="N645" s="3"/>
    </row>
    <row r="646" spans="3:14" ht="15.75" customHeight="1">
      <c r="C646" s="4"/>
      <c r="N646" s="3"/>
    </row>
    <row r="647" spans="3:14" ht="15.75" customHeight="1">
      <c r="C647" s="4"/>
      <c r="N647" s="3"/>
    </row>
    <row r="648" spans="3:14" ht="15.75" customHeight="1">
      <c r="C648" s="4"/>
      <c r="N648" s="3"/>
    </row>
    <row r="649" spans="3:14" ht="15.75" customHeight="1">
      <c r="C649" s="4"/>
      <c r="N649" s="3"/>
    </row>
    <row r="650" spans="3:14" ht="15.75" customHeight="1">
      <c r="C650" s="4"/>
      <c r="N650" s="3"/>
    </row>
    <row r="651" spans="3:14" ht="15.75" customHeight="1">
      <c r="C651" s="4"/>
      <c r="N651" s="3"/>
    </row>
    <row r="652" spans="3:14" ht="15.75" customHeight="1">
      <c r="C652" s="4"/>
      <c r="N652" s="3"/>
    </row>
    <row r="653" spans="3:14" ht="15.75" customHeight="1">
      <c r="C653" s="4"/>
      <c r="N653" s="3"/>
    </row>
    <row r="654" spans="3:14" ht="15.75" customHeight="1">
      <c r="C654" s="4"/>
      <c r="N654" s="3"/>
    </row>
    <row r="655" spans="3:14" ht="15.75" customHeight="1">
      <c r="C655" s="4"/>
      <c r="N655" s="3"/>
    </row>
    <row r="656" spans="3:14" ht="15.75" customHeight="1">
      <c r="C656" s="4"/>
      <c r="N656" s="3"/>
    </row>
    <row r="657" spans="3:14" ht="15.75" customHeight="1">
      <c r="C657" s="4"/>
      <c r="N657" s="3"/>
    </row>
    <row r="658" spans="3:14" ht="15.75" customHeight="1">
      <c r="C658" s="4"/>
      <c r="N658" s="3"/>
    </row>
    <row r="659" spans="3:14" ht="15.75" customHeight="1">
      <c r="C659" s="4"/>
      <c r="N659" s="3"/>
    </row>
    <row r="660" spans="3:14" ht="15.75" customHeight="1">
      <c r="C660" s="4"/>
      <c r="N660" s="3"/>
    </row>
    <row r="661" spans="3:14" ht="15.75" customHeight="1">
      <c r="C661" s="4"/>
      <c r="N661" s="3"/>
    </row>
    <row r="662" spans="3:14" ht="15.75" customHeight="1">
      <c r="C662" s="4"/>
      <c r="N662" s="3"/>
    </row>
    <row r="663" spans="3:14" ht="15.75" customHeight="1">
      <c r="C663" s="4"/>
      <c r="N663" s="3"/>
    </row>
    <row r="664" spans="3:14" ht="15.75" customHeight="1">
      <c r="C664" s="4"/>
      <c r="N664" s="3"/>
    </row>
    <row r="665" spans="3:14" ht="15.75" customHeight="1">
      <c r="C665" s="4"/>
      <c r="N665" s="3"/>
    </row>
    <row r="666" spans="3:14" ht="15.75" customHeight="1">
      <c r="C666" s="4"/>
      <c r="N666" s="3"/>
    </row>
    <row r="667" spans="3:14" ht="15.75" customHeight="1">
      <c r="C667" s="4"/>
      <c r="N667" s="3"/>
    </row>
    <row r="668" spans="3:14" ht="15.75" customHeight="1">
      <c r="C668" s="4"/>
      <c r="N668" s="3"/>
    </row>
    <row r="669" spans="3:14" ht="15.75" customHeight="1">
      <c r="C669" s="4"/>
      <c r="N669" s="3"/>
    </row>
    <row r="670" spans="3:14" ht="15.75" customHeight="1">
      <c r="C670" s="4"/>
      <c r="N670" s="3"/>
    </row>
    <row r="671" spans="3:14" ht="15.75" customHeight="1">
      <c r="C671" s="4"/>
      <c r="N671" s="3"/>
    </row>
    <row r="672" spans="3:14" ht="15.75" customHeight="1">
      <c r="C672" s="4"/>
      <c r="N672" s="3"/>
    </row>
    <row r="673" spans="3:14" ht="15.75" customHeight="1">
      <c r="C673" s="4"/>
      <c r="N673" s="3"/>
    </row>
    <row r="674" spans="3:14" ht="15.75" customHeight="1">
      <c r="C674" s="4"/>
      <c r="N674" s="3"/>
    </row>
    <row r="675" spans="3:14" ht="15.75" customHeight="1">
      <c r="C675" s="4"/>
      <c r="N675" s="3"/>
    </row>
    <row r="676" spans="3:14" ht="15.75" customHeight="1">
      <c r="C676" s="4"/>
      <c r="N676" s="3"/>
    </row>
    <row r="677" spans="3:14" ht="15.75" customHeight="1">
      <c r="C677" s="4"/>
      <c r="N677" s="3"/>
    </row>
    <row r="678" spans="3:14" ht="15.75" customHeight="1">
      <c r="C678" s="4"/>
      <c r="N678" s="3"/>
    </row>
    <row r="679" spans="3:14" ht="15.75" customHeight="1">
      <c r="C679" s="4"/>
      <c r="N679" s="3"/>
    </row>
    <row r="680" spans="3:14" ht="15.75" customHeight="1">
      <c r="C680" s="4"/>
      <c r="N680" s="3"/>
    </row>
    <row r="681" spans="3:14" ht="15.75" customHeight="1">
      <c r="C681" s="4"/>
      <c r="N681" s="3"/>
    </row>
    <row r="682" spans="3:14" ht="15.75" customHeight="1">
      <c r="C682" s="4"/>
      <c r="N682" s="3"/>
    </row>
    <row r="683" spans="3:14" ht="15.75" customHeight="1">
      <c r="C683" s="4"/>
      <c r="N683" s="3"/>
    </row>
    <row r="684" spans="3:14" ht="15.75" customHeight="1">
      <c r="C684" s="4"/>
      <c r="N684" s="3"/>
    </row>
    <row r="685" spans="3:14" ht="15.75" customHeight="1">
      <c r="C685" s="4"/>
      <c r="N685" s="3"/>
    </row>
    <row r="686" spans="3:14" ht="15.75" customHeight="1">
      <c r="C686" s="4"/>
      <c r="N686" s="3"/>
    </row>
    <row r="687" spans="3:14" ht="15.75" customHeight="1">
      <c r="C687" s="4"/>
      <c r="N687" s="3"/>
    </row>
    <row r="688" spans="3:14" ht="15.75" customHeight="1">
      <c r="C688" s="4"/>
      <c r="N688" s="3"/>
    </row>
    <row r="689" spans="3:14" ht="15.75" customHeight="1">
      <c r="C689" s="4"/>
      <c r="N689" s="3"/>
    </row>
    <row r="690" spans="3:14" ht="15.75" customHeight="1">
      <c r="C690" s="4"/>
      <c r="N690" s="3"/>
    </row>
    <row r="691" spans="3:14" ht="15.75" customHeight="1">
      <c r="C691" s="4"/>
      <c r="N691" s="3"/>
    </row>
    <row r="692" spans="3:14" ht="15.75" customHeight="1">
      <c r="C692" s="4"/>
      <c r="N692" s="3"/>
    </row>
    <row r="693" spans="3:14" ht="15.75" customHeight="1">
      <c r="C693" s="4"/>
      <c r="N693" s="3"/>
    </row>
    <row r="694" spans="3:14" ht="15.75" customHeight="1">
      <c r="C694" s="4"/>
      <c r="N694" s="3"/>
    </row>
    <row r="695" spans="3:14" ht="15.75" customHeight="1">
      <c r="C695" s="4"/>
      <c r="N695" s="3"/>
    </row>
    <row r="696" spans="3:14" ht="15.75" customHeight="1">
      <c r="C696" s="4"/>
      <c r="N696" s="3"/>
    </row>
    <row r="697" spans="3:14" ht="15.75" customHeight="1">
      <c r="C697" s="4"/>
      <c r="N697" s="3"/>
    </row>
    <row r="698" spans="3:14" ht="15.75" customHeight="1">
      <c r="C698" s="4"/>
      <c r="N698" s="3"/>
    </row>
    <row r="699" spans="3:14" ht="15.75" customHeight="1">
      <c r="C699" s="4"/>
      <c r="N699" s="3"/>
    </row>
    <row r="700" spans="3:14" ht="15.75" customHeight="1">
      <c r="C700" s="4"/>
      <c r="N700" s="3"/>
    </row>
    <row r="701" spans="3:14" ht="15.75" customHeight="1">
      <c r="C701" s="4"/>
      <c r="N701" s="3"/>
    </row>
    <row r="702" spans="3:14" ht="15.75" customHeight="1">
      <c r="C702" s="4"/>
      <c r="N702" s="3"/>
    </row>
    <row r="703" spans="3:14" ht="15.75" customHeight="1">
      <c r="C703" s="4"/>
      <c r="N703" s="3"/>
    </row>
    <row r="704" spans="3:14" ht="15.75" customHeight="1">
      <c r="C704" s="4"/>
      <c r="N704" s="3"/>
    </row>
    <row r="705" spans="3:14" ht="15.75" customHeight="1">
      <c r="C705" s="4"/>
      <c r="N705" s="3"/>
    </row>
    <row r="706" spans="3:14" ht="15.75" customHeight="1">
      <c r="C706" s="4"/>
      <c r="N706" s="3"/>
    </row>
    <row r="707" spans="3:14" ht="15.75" customHeight="1">
      <c r="C707" s="4"/>
      <c r="N707" s="3"/>
    </row>
    <row r="708" spans="3:14" ht="15.75" customHeight="1">
      <c r="C708" s="4"/>
      <c r="N708" s="3"/>
    </row>
    <row r="709" spans="3:14" ht="15.75" customHeight="1">
      <c r="C709" s="4"/>
      <c r="N709" s="3"/>
    </row>
    <row r="710" spans="3:14" ht="15.75" customHeight="1">
      <c r="C710" s="4"/>
      <c r="N710" s="3"/>
    </row>
    <row r="711" spans="3:14" ht="15.75" customHeight="1">
      <c r="C711" s="4"/>
      <c r="N711" s="3"/>
    </row>
    <row r="712" spans="3:14" ht="15.75" customHeight="1">
      <c r="C712" s="4"/>
      <c r="N712" s="3"/>
    </row>
    <row r="713" spans="3:14" ht="15.75" customHeight="1">
      <c r="C713" s="4"/>
      <c r="N713" s="3"/>
    </row>
    <row r="714" spans="3:14" ht="15.75" customHeight="1">
      <c r="C714" s="4"/>
      <c r="N714" s="3"/>
    </row>
    <row r="715" spans="3:14" ht="15.75" customHeight="1">
      <c r="C715" s="4"/>
      <c r="N715" s="3"/>
    </row>
    <row r="716" spans="3:14" ht="15.75" customHeight="1">
      <c r="C716" s="4"/>
      <c r="N716" s="3"/>
    </row>
    <row r="717" spans="3:14" ht="15.75" customHeight="1">
      <c r="C717" s="4"/>
      <c r="N717" s="3"/>
    </row>
    <row r="718" spans="3:14" ht="15.75" customHeight="1">
      <c r="C718" s="4"/>
      <c r="N718" s="3"/>
    </row>
    <row r="719" spans="3:14" ht="15.75" customHeight="1">
      <c r="C719" s="4"/>
      <c r="N719" s="3"/>
    </row>
    <row r="720" spans="3:14" ht="15.75" customHeight="1">
      <c r="C720" s="4"/>
      <c r="N720" s="3"/>
    </row>
    <row r="721" spans="3:14" ht="15.75" customHeight="1">
      <c r="C721" s="4"/>
      <c r="N721" s="3"/>
    </row>
    <row r="722" spans="3:14" ht="15.75" customHeight="1">
      <c r="C722" s="4"/>
      <c r="N722" s="3"/>
    </row>
    <row r="723" spans="3:14" ht="15.75" customHeight="1">
      <c r="C723" s="4"/>
      <c r="N723" s="3"/>
    </row>
    <row r="724" spans="3:14" ht="15.75" customHeight="1">
      <c r="C724" s="4"/>
      <c r="N724" s="3"/>
    </row>
    <row r="725" spans="3:14" ht="15.75" customHeight="1">
      <c r="C725" s="4"/>
      <c r="N725" s="3"/>
    </row>
    <row r="726" spans="3:14" ht="15.75" customHeight="1">
      <c r="C726" s="4"/>
      <c r="N726" s="3"/>
    </row>
    <row r="727" spans="3:14" ht="15.75" customHeight="1">
      <c r="C727" s="4"/>
      <c r="N727" s="3"/>
    </row>
    <row r="728" spans="3:14" ht="15.75" customHeight="1">
      <c r="C728" s="4"/>
      <c r="N728" s="3"/>
    </row>
    <row r="729" spans="3:14" ht="15.75" customHeight="1">
      <c r="C729" s="4"/>
      <c r="N729" s="3"/>
    </row>
    <row r="730" spans="3:14" ht="15.75" customHeight="1">
      <c r="C730" s="4"/>
      <c r="N730" s="3"/>
    </row>
    <row r="731" spans="3:14" ht="15.75" customHeight="1">
      <c r="C731" s="4"/>
      <c r="N731" s="3"/>
    </row>
    <row r="732" spans="3:14" ht="15.75" customHeight="1">
      <c r="C732" s="4"/>
      <c r="N732" s="3"/>
    </row>
    <row r="733" spans="3:14" ht="15.75" customHeight="1">
      <c r="C733" s="4"/>
      <c r="N733" s="3"/>
    </row>
    <row r="734" spans="3:14" ht="15.75" customHeight="1">
      <c r="C734" s="4"/>
      <c r="N734" s="3"/>
    </row>
    <row r="735" spans="3:14" ht="15.75" customHeight="1">
      <c r="C735" s="4"/>
      <c r="N735" s="3"/>
    </row>
    <row r="736" spans="3:14" ht="15.75" customHeight="1">
      <c r="C736" s="4"/>
      <c r="N736" s="3"/>
    </row>
    <row r="737" spans="3:14" ht="15.75" customHeight="1">
      <c r="C737" s="4"/>
      <c r="N737" s="3"/>
    </row>
    <row r="738" spans="3:14" ht="15.75" customHeight="1">
      <c r="C738" s="4"/>
      <c r="N738" s="3"/>
    </row>
    <row r="739" spans="3:14" ht="15.75" customHeight="1">
      <c r="C739" s="4"/>
      <c r="N739" s="3"/>
    </row>
    <row r="740" spans="3:14" ht="15.75" customHeight="1">
      <c r="C740" s="4"/>
      <c r="N740" s="3"/>
    </row>
    <row r="741" spans="3:14" ht="15.75" customHeight="1">
      <c r="C741" s="4"/>
      <c r="N741" s="3"/>
    </row>
    <row r="742" spans="3:14" ht="15.75" customHeight="1">
      <c r="C742" s="4"/>
      <c r="N742" s="3"/>
    </row>
    <row r="743" spans="3:14" ht="15.75" customHeight="1">
      <c r="C743" s="4"/>
      <c r="N743" s="3"/>
    </row>
    <row r="744" spans="3:14" ht="15.75" customHeight="1">
      <c r="C744" s="4"/>
      <c r="N744" s="3"/>
    </row>
    <row r="745" spans="3:14" ht="15.75" customHeight="1">
      <c r="C745" s="4"/>
      <c r="N745" s="3"/>
    </row>
    <row r="746" spans="3:14" ht="15.75" customHeight="1">
      <c r="C746" s="4"/>
      <c r="N746" s="3"/>
    </row>
    <row r="747" spans="3:14" ht="15.75" customHeight="1">
      <c r="C747" s="4"/>
      <c r="N747" s="3"/>
    </row>
    <row r="748" spans="3:14" ht="15.75" customHeight="1">
      <c r="C748" s="4"/>
      <c r="N748" s="3"/>
    </row>
    <row r="749" spans="3:14" ht="15.75" customHeight="1">
      <c r="C749" s="4"/>
      <c r="N749" s="3"/>
    </row>
    <row r="750" spans="3:14" ht="15.75" customHeight="1">
      <c r="C750" s="4"/>
      <c r="N750" s="3"/>
    </row>
    <row r="751" spans="3:14" ht="15.75" customHeight="1">
      <c r="C751" s="4"/>
      <c r="N751" s="3"/>
    </row>
    <row r="752" spans="3:14" ht="15.75" customHeight="1">
      <c r="C752" s="4"/>
      <c r="N752" s="3"/>
    </row>
    <row r="753" spans="3:14" ht="15.75" customHeight="1">
      <c r="C753" s="4"/>
      <c r="N753" s="3"/>
    </row>
    <row r="754" spans="3:14" ht="15.75" customHeight="1">
      <c r="C754" s="4"/>
      <c r="N754" s="3"/>
    </row>
    <row r="755" spans="3:14" ht="15.75" customHeight="1">
      <c r="C755" s="4"/>
      <c r="N755" s="3"/>
    </row>
    <row r="756" spans="3:14" ht="15.75" customHeight="1">
      <c r="C756" s="4"/>
      <c r="N756" s="3"/>
    </row>
    <row r="757" spans="3:14" ht="15.75" customHeight="1">
      <c r="C757" s="4"/>
      <c r="N757" s="3"/>
    </row>
    <row r="758" spans="3:14" ht="15.75" customHeight="1">
      <c r="C758" s="4"/>
      <c r="N758" s="3"/>
    </row>
    <row r="759" spans="3:14" ht="15.75" customHeight="1">
      <c r="C759" s="4"/>
      <c r="N759" s="3"/>
    </row>
    <row r="760" spans="3:14" ht="15.75" customHeight="1">
      <c r="C760" s="4"/>
      <c r="N760" s="3"/>
    </row>
    <row r="761" spans="3:14" ht="15.75" customHeight="1">
      <c r="C761" s="4"/>
      <c r="N761" s="3"/>
    </row>
    <row r="762" spans="3:14" ht="15.75" customHeight="1">
      <c r="C762" s="4"/>
      <c r="N762" s="3"/>
    </row>
    <row r="763" spans="3:14" ht="15.75" customHeight="1">
      <c r="C763" s="4"/>
      <c r="N763" s="3"/>
    </row>
    <row r="764" spans="3:14" ht="15.75" customHeight="1">
      <c r="C764" s="4"/>
      <c r="N764" s="3"/>
    </row>
    <row r="765" spans="3:14" ht="15.75" customHeight="1">
      <c r="C765" s="4"/>
      <c r="N765" s="3"/>
    </row>
    <row r="766" spans="3:14" ht="15.75" customHeight="1">
      <c r="C766" s="4"/>
      <c r="N766" s="3"/>
    </row>
    <row r="767" spans="3:14" ht="15.75" customHeight="1">
      <c r="C767" s="4"/>
      <c r="N767" s="3"/>
    </row>
    <row r="768" spans="3:14" ht="15.75" customHeight="1">
      <c r="C768" s="4"/>
      <c r="N768" s="3"/>
    </row>
    <row r="769" spans="3:14" ht="15.75" customHeight="1">
      <c r="C769" s="4"/>
      <c r="N769" s="3"/>
    </row>
    <row r="770" spans="3:14" ht="15.75" customHeight="1">
      <c r="C770" s="4"/>
      <c r="N770" s="3"/>
    </row>
    <row r="771" spans="3:14" ht="15.75" customHeight="1">
      <c r="C771" s="4"/>
      <c r="N771" s="3"/>
    </row>
    <row r="772" spans="3:14" ht="15.75" customHeight="1">
      <c r="C772" s="4"/>
      <c r="N772" s="3"/>
    </row>
    <row r="773" spans="3:14" ht="15.75" customHeight="1">
      <c r="C773" s="4"/>
      <c r="N773" s="3"/>
    </row>
    <row r="774" spans="3:14" ht="15.75" customHeight="1">
      <c r="C774" s="4"/>
      <c r="N774" s="3"/>
    </row>
    <row r="775" spans="3:14" ht="15.75" customHeight="1">
      <c r="C775" s="4"/>
      <c r="N775" s="3"/>
    </row>
    <row r="776" spans="3:14" ht="15.75" customHeight="1">
      <c r="C776" s="4"/>
      <c r="N776" s="3"/>
    </row>
    <row r="777" spans="3:14" ht="15.75" customHeight="1">
      <c r="C777" s="4"/>
      <c r="N777" s="3"/>
    </row>
    <row r="778" spans="3:14" ht="15.75" customHeight="1">
      <c r="C778" s="4"/>
      <c r="N778" s="3"/>
    </row>
    <row r="779" spans="3:14" ht="15.75" customHeight="1">
      <c r="C779" s="4"/>
      <c r="N779" s="3"/>
    </row>
    <row r="780" spans="3:14" ht="15.75" customHeight="1">
      <c r="C780" s="4"/>
      <c r="N780" s="3"/>
    </row>
    <row r="781" spans="3:14" ht="15.75" customHeight="1">
      <c r="C781" s="4"/>
      <c r="N781" s="3"/>
    </row>
    <row r="782" spans="3:14" ht="15.75" customHeight="1">
      <c r="C782" s="4"/>
      <c r="N782" s="3"/>
    </row>
    <row r="783" spans="3:14" ht="15.75" customHeight="1">
      <c r="C783" s="4"/>
      <c r="N783" s="3"/>
    </row>
    <row r="784" spans="3:14" ht="15.75" customHeight="1">
      <c r="C784" s="4"/>
      <c r="N784" s="3"/>
    </row>
    <row r="785" spans="3:14" ht="15.75" customHeight="1">
      <c r="C785" s="4"/>
      <c r="N785" s="3"/>
    </row>
    <row r="786" spans="3:14" ht="15.75" customHeight="1">
      <c r="C786" s="4"/>
      <c r="N786" s="3"/>
    </row>
    <row r="787" spans="3:14" ht="15.75" customHeight="1">
      <c r="C787" s="4"/>
      <c r="N787" s="3"/>
    </row>
    <row r="788" spans="3:14" ht="15.75" customHeight="1">
      <c r="C788" s="4"/>
      <c r="N788" s="3"/>
    </row>
    <row r="789" spans="3:14" ht="15.75" customHeight="1">
      <c r="C789" s="4"/>
      <c r="N789" s="3"/>
    </row>
    <row r="790" spans="3:14" ht="15.75" customHeight="1">
      <c r="C790" s="4"/>
      <c r="N790" s="3"/>
    </row>
    <row r="791" spans="3:14" ht="15.75" customHeight="1">
      <c r="C791" s="4"/>
      <c r="N791" s="3"/>
    </row>
    <row r="792" spans="3:14" ht="15.75" customHeight="1">
      <c r="C792" s="4"/>
      <c r="N792" s="3"/>
    </row>
    <row r="793" spans="3:14" ht="15.75" customHeight="1">
      <c r="C793" s="4"/>
      <c r="N793" s="3"/>
    </row>
    <row r="794" spans="3:14" ht="15.75" customHeight="1">
      <c r="C794" s="4"/>
      <c r="N794" s="3"/>
    </row>
    <row r="795" spans="3:14" ht="15.75" customHeight="1">
      <c r="C795" s="4"/>
      <c r="N795" s="3"/>
    </row>
    <row r="796" spans="3:14" ht="15.75" customHeight="1">
      <c r="C796" s="4"/>
      <c r="N796" s="3"/>
    </row>
    <row r="797" spans="3:14" ht="15.75" customHeight="1">
      <c r="C797" s="4"/>
      <c r="N797" s="3"/>
    </row>
    <row r="798" spans="3:14" ht="15.75" customHeight="1">
      <c r="C798" s="4"/>
      <c r="N798" s="3"/>
    </row>
    <row r="799" spans="3:14" ht="15.75" customHeight="1">
      <c r="C799" s="4"/>
      <c r="N799" s="3"/>
    </row>
    <row r="800" spans="3:14" ht="15.75" customHeight="1">
      <c r="C800" s="4"/>
      <c r="N800" s="3"/>
    </row>
    <row r="801" spans="3:14" ht="15.75" customHeight="1">
      <c r="C801" s="4"/>
      <c r="N801" s="3"/>
    </row>
    <row r="802" spans="3:14" ht="15.75" customHeight="1">
      <c r="C802" s="4"/>
      <c r="N802" s="3"/>
    </row>
    <row r="803" spans="3:14" ht="15.75" customHeight="1">
      <c r="C803" s="4"/>
      <c r="N803" s="3"/>
    </row>
    <row r="804" spans="3:14" ht="15.75" customHeight="1">
      <c r="C804" s="4"/>
      <c r="N804" s="3"/>
    </row>
    <row r="805" spans="3:14" ht="15.75" customHeight="1">
      <c r="C805" s="4"/>
      <c r="N805" s="3"/>
    </row>
    <row r="806" spans="3:14" ht="15.75" customHeight="1">
      <c r="C806" s="4"/>
      <c r="N806" s="3"/>
    </row>
    <row r="807" spans="3:14" ht="15.75" customHeight="1">
      <c r="C807" s="4"/>
      <c r="N807" s="3"/>
    </row>
    <row r="808" spans="3:14" ht="15.75" customHeight="1">
      <c r="C808" s="4"/>
      <c r="N808" s="3"/>
    </row>
    <row r="809" spans="3:14" ht="15.75" customHeight="1">
      <c r="C809" s="4"/>
      <c r="N809" s="3"/>
    </row>
    <row r="810" spans="3:14" ht="15.75" customHeight="1">
      <c r="C810" s="4"/>
      <c r="N810" s="3"/>
    </row>
    <row r="811" spans="3:14" ht="15.75" customHeight="1">
      <c r="C811" s="4"/>
      <c r="N811" s="3"/>
    </row>
    <row r="812" spans="3:14" ht="15.75" customHeight="1">
      <c r="C812" s="4"/>
      <c r="N812" s="3"/>
    </row>
    <row r="813" spans="3:14" ht="15.75" customHeight="1">
      <c r="C813" s="4"/>
      <c r="N813" s="3"/>
    </row>
    <row r="814" spans="3:14" ht="15.75" customHeight="1">
      <c r="C814" s="4"/>
      <c r="N814" s="3"/>
    </row>
    <row r="815" spans="3:14" ht="15.75" customHeight="1">
      <c r="C815" s="4"/>
      <c r="N815" s="3"/>
    </row>
    <row r="816" spans="3:14" ht="15.75" customHeight="1">
      <c r="C816" s="4"/>
      <c r="N816" s="3"/>
    </row>
    <row r="817" spans="3:14" ht="15.75" customHeight="1">
      <c r="C817" s="4"/>
      <c r="N817" s="3"/>
    </row>
    <row r="818" spans="3:14" ht="15.75" customHeight="1">
      <c r="C818" s="4"/>
      <c r="N818" s="3"/>
    </row>
    <row r="819" spans="3:14" ht="15.75" customHeight="1">
      <c r="C819" s="4"/>
      <c r="N819" s="3"/>
    </row>
    <row r="820" spans="3:14" ht="15.75" customHeight="1">
      <c r="C820" s="4"/>
      <c r="N820" s="3"/>
    </row>
    <row r="821" spans="3:14" ht="15.75" customHeight="1">
      <c r="C821" s="4"/>
      <c r="N821" s="3"/>
    </row>
    <row r="822" spans="3:14" ht="15.75" customHeight="1">
      <c r="C822" s="4"/>
      <c r="N822" s="3"/>
    </row>
    <row r="823" spans="3:14" ht="15.75" customHeight="1">
      <c r="C823" s="4"/>
      <c r="N823" s="3"/>
    </row>
    <row r="824" spans="3:14" ht="15.75" customHeight="1">
      <c r="C824" s="4"/>
      <c r="N824" s="3"/>
    </row>
    <row r="825" spans="3:14" ht="15.75" customHeight="1">
      <c r="C825" s="4"/>
      <c r="N825" s="3"/>
    </row>
    <row r="826" spans="3:14" ht="15.75" customHeight="1">
      <c r="C826" s="4"/>
      <c r="N826" s="3"/>
    </row>
    <row r="827" spans="3:14" ht="15.75" customHeight="1">
      <c r="C827" s="4"/>
      <c r="N827" s="3"/>
    </row>
    <row r="828" spans="3:14" ht="15.75" customHeight="1">
      <c r="C828" s="4"/>
      <c r="N828" s="3"/>
    </row>
    <row r="829" spans="3:14" ht="15.75" customHeight="1">
      <c r="C829" s="4"/>
      <c r="N829" s="3"/>
    </row>
    <row r="830" spans="3:14" ht="15.75" customHeight="1">
      <c r="C830" s="4"/>
      <c r="N830" s="3"/>
    </row>
    <row r="831" spans="3:14" ht="15.75" customHeight="1">
      <c r="C831" s="4"/>
      <c r="N831" s="3"/>
    </row>
    <row r="832" spans="3:14" ht="15.75" customHeight="1">
      <c r="C832" s="4"/>
      <c r="N832" s="3"/>
    </row>
    <row r="833" spans="3:14" ht="15.75" customHeight="1">
      <c r="C833" s="4"/>
      <c r="N833" s="3"/>
    </row>
    <row r="834" spans="3:14" ht="15.75" customHeight="1">
      <c r="C834" s="4"/>
      <c r="N834" s="3"/>
    </row>
    <row r="835" spans="3:14" ht="15.75" customHeight="1">
      <c r="C835" s="4"/>
      <c r="N835" s="3"/>
    </row>
    <row r="836" spans="3:14" ht="15.75" customHeight="1">
      <c r="C836" s="4"/>
      <c r="N836" s="3"/>
    </row>
    <row r="837" spans="3:14" ht="15.75" customHeight="1">
      <c r="C837" s="4"/>
      <c r="N837" s="3"/>
    </row>
    <row r="838" spans="3:14" ht="15.75" customHeight="1">
      <c r="C838" s="4"/>
      <c r="N838" s="3"/>
    </row>
    <row r="839" spans="3:14" ht="15.75" customHeight="1">
      <c r="C839" s="4"/>
      <c r="N839" s="3"/>
    </row>
    <row r="840" spans="3:14" ht="15.75" customHeight="1">
      <c r="C840" s="4"/>
      <c r="N840" s="3"/>
    </row>
    <row r="841" spans="3:14" ht="15.75" customHeight="1">
      <c r="C841" s="4"/>
      <c r="N841" s="3"/>
    </row>
    <row r="842" spans="3:14" ht="15.75" customHeight="1">
      <c r="C842" s="4"/>
      <c r="N842" s="3"/>
    </row>
    <row r="843" spans="3:14" ht="15.75" customHeight="1">
      <c r="C843" s="4"/>
      <c r="N843" s="3"/>
    </row>
    <row r="844" spans="3:14" ht="15.75" customHeight="1">
      <c r="C844" s="4"/>
      <c r="N844" s="3"/>
    </row>
    <row r="845" spans="3:14" ht="15.75" customHeight="1">
      <c r="C845" s="4"/>
      <c r="N845" s="3"/>
    </row>
    <row r="846" spans="3:14" ht="15.75" customHeight="1">
      <c r="C846" s="4"/>
      <c r="N846" s="3"/>
    </row>
    <row r="847" spans="3:14" ht="15.75" customHeight="1">
      <c r="C847" s="4"/>
      <c r="N847" s="3"/>
    </row>
    <row r="848" spans="3:14" ht="15.75" customHeight="1">
      <c r="C848" s="4"/>
      <c r="N848" s="3"/>
    </row>
    <row r="849" spans="3:14" ht="15.75" customHeight="1">
      <c r="C849" s="4"/>
      <c r="N849" s="3"/>
    </row>
    <row r="850" spans="3:14" ht="15.75" customHeight="1">
      <c r="C850" s="4"/>
      <c r="N850" s="3"/>
    </row>
    <row r="851" spans="3:14" ht="15.75" customHeight="1">
      <c r="C851" s="4"/>
      <c r="N851" s="3"/>
    </row>
    <row r="852" spans="3:14" ht="15.75" customHeight="1">
      <c r="C852" s="4"/>
      <c r="N852" s="3"/>
    </row>
    <row r="853" spans="3:14" ht="15.75" customHeight="1">
      <c r="C853" s="4"/>
      <c r="N853" s="3"/>
    </row>
    <row r="854" spans="3:14" ht="15.75" customHeight="1">
      <c r="C854" s="4"/>
      <c r="N854" s="3"/>
    </row>
    <row r="855" spans="3:14" ht="15.75" customHeight="1">
      <c r="C855" s="4"/>
      <c r="N855" s="3"/>
    </row>
    <row r="856" spans="3:14" ht="15.75" customHeight="1">
      <c r="C856" s="4"/>
      <c r="N856" s="3"/>
    </row>
    <row r="857" spans="3:14" ht="15.75" customHeight="1">
      <c r="C857" s="4"/>
      <c r="N857" s="3"/>
    </row>
    <row r="858" spans="3:14" ht="15.75" customHeight="1">
      <c r="C858" s="4"/>
      <c r="N858" s="3"/>
    </row>
    <row r="859" spans="3:14" ht="15.75" customHeight="1">
      <c r="C859" s="4"/>
      <c r="N859" s="3"/>
    </row>
    <row r="860" spans="3:14" ht="15.75" customHeight="1">
      <c r="C860" s="4"/>
      <c r="N860" s="3"/>
    </row>
    <row r="861" spans="3:14" ht="15.75" customHeight="1">
      <c r="C861" s="4"/>
      <c r="N861" s="3"/>
    </row>
    <row r="862" spans="3:14" ht="15.75" customHeight="1">
      <c r="C862" s="4"/>
      <c r="N862" s="3"/>
    </row>
    <row r="863" spans="3:14" ht="15.75" customHeight="1">
      <c r="C863" s="4"/>
      <c r="N863" s="3"/>
    </row>
    <row r="864" spans="3:14" ht="15.75" customHeight="1">
      <c r="C864" s="4"/>
      <c r="N864" s="3"/>
    </row>
    <row r="865" spans="3:14" ht="15.75" customHeight="1">
      <c r="C865" s="4"/>
      <c r="N865" s="3"/>
    </row>
    <row r="866" spans="3:14" ht="15.75" customHeight="1">
      <c r="C866" s="4"/>
      <c r="N866" s="3"/>
    </row>
    <row r="867" spans="3:14" ht="15.75" customHeight="1">
      <c r="C867" s="4"/>
      <c r="N867" s="3"/>
    </row>
    <row r="868" spans="3:14" ht="15.75" customHeight="1">
      <c r="C868" s="4"/>
      <c r="N868" s="3"/>
    </row>
    <row r="869" spans="3:14" ht="15.75" customHeight="1">
      <c r="C869" s="4"/>
      <c r="N869" s="3"/>
    </row>
    <row r="870" spans="3:14" ht="15.75" customHeight="1">
      <c r="C870" s="4"/>
      <c r="N870" s="3"/>
    </row>
    <row r="871" spans="3:14" ht="15.75" customHeight="1">
      <c r="C871" s="4"/>
      <c r="N871" s="3"/>
    </row>
    <row r="872" spans="3:14" ht="15.75" customHeight="1">
      <c r="C872" s="4"/>
      <c r="N872" s="3"/>
    </row>
    <row r="873" spans="3:14" ht="15.75" customHeight="1">
      <c r="C873" s="4"/>
      <c r="N873" s="3"/>
    </row>
    <row r="874" spans="3:14" ht="15.75" customHeight="1">
      <c r="C874" s="4"/>
      <c r="N874" s="3"/>
    </row>
    <row r="875" spans="3:14" ht="15.75" customHeight="1">
      <c r="C875" s="4"/>
      <c r="N875" s="3"/>
    </row>
    <row r="876" spans="3:14" ht="15.75" customHeight="1">
      <c r="C876" s="4"/>
      <c r="N876" s="3"/>
    </row>
    <row r="877" spans="3:14" ht="15.75" customHeight="1">
      <c r="C877" s="4"/>
      <c r="N877" s="3"/>
    </row>
    <row r="878" spans="3:14" ht="15.75" customHeight="1">
      <c r="C878" s="4"/>
      <c r="N878" s="3"/>
    </row>
    <row r="879" spans="3:14" ht="15.75" customHeight="1">
      <c r="C879" s="4"/>
      <c r="N879" s="3"/>
    </row>
    <row r="880" spans="3:14" ht="15.75" customHeight="1">
      <c r="C880" s="4"/>
      <c r="N880" s="3"/>
    </row>
    <row r="881" spans="3:14" ht="15.75" customHeight="1">
      <c r="C881" s="4"/>
      <c r="N881" s="3"/>
    </row>
    <row r="882" spans="3:14" ht="15.75" customHeight="1">
      <c r="C882" s="4"/>
      <c r="N882" s="3"/>
    </row>
    <row r="883" spans="3:14" ht="15.75" customHeight="1">
      <c r="C883" s="4"/>
      <c r="N883" s="3"/>
    </row>
    <row r="884" spans="3:14" ht="15.75" customHeight="1">
      <c r="C884" s="4"/>
      <c r="N884" s="3"/>
    </row>
    <row r="885" spans="3:14" ht="15.75" customHeight="1">
      <c r="C885" s="4"/>
      <c r="N885" s="3"/>
    </row>
    <row r="886" spans="3:14" ht="15.75" customHeight="1">
      <c r="C886" s="4"/>
      <c r="N886" s="3"/>
    </row>
    <row r="887" spans="3:14" ht="15.75" customHeight="1">
      <c r="C887" s="4"/>
      <c r="N887" s="3"/>
    </row>
    <row r="888" spans="3:14" ht="15.75" customHeight="1">
      <c r="C888" s="4"/>
      <c r="N888" s="3"/>
    </row>
    <row r="889" spans="3:14" ht="15.75" customHeight="1">
      <c r="C889" s="4"/>
      <c r="N889" s="3"/>
    </row>
    <row r="890" spans="3:14" ht="15.75" customHeight="1">
      <c r="C890" s="4"/>
      <c r="N890" s="3"/>
    </row>
    <row r="891" spans="3:14" ht="15.75" customHeight="1">
      <c r="C891" s="4"/>
      <c r="N891" s="3"/>
    </row>
    <row r="892" spans="3:14" ht="15.75" customHeight="1">
      <c r="C892" s="4"/>
      <c r="N892" s="3"/>
    </row>
    <row r="893" spans="3:14" ht="15.75" customHeight="1">
      <c r="C893" s="4"/>
      <c r="N893" s="3"/>
    </row>
    <row r="894" spans="3:14" ht="15.75" customHeight="1">
      <c r="C894" s="4"/>
      <c r="N894" s="3"/>
    </row>
    <row r="895" spans="3:14" ht="15.75" customHeight="1">
      <c r="C895" s="4"/>
      <c r="N895" s="3"/>
    </row>
    <row r="896" spans="3:14" ht="15.75" customHeight="1">
      <c r="C896" s="4"/>
      <c r="N896" s="3"/>
    </row>
    <row r="897" spans="3:14" ht="15.75" customHeight="1">
      <c r="C897" s="4"/>
      <c r="N897" s="3"/>
    </row>
    <row r="898" spans="3:14" ht="15.75" customHeight="1">
      <c r="C898" s="4"/>
      <c r="N898" s="3"/>
    </row>
    <row r="899" spans="3:14" ht="15.75" customHeight="1">
      <c r="C899" s="4"/>
      <c r="N899" s="3"/>
    </row>
    <row r="900" spans="3:14" ht="15.75" customHeight="1">
      <c r="C900" s="4"/>
      <c r="N900" s="3"/>
    </row>
    <row r="901" spans="3:14" ht="15.75" customHeight="1">
      <c r="C901" s="4"/>
      <c r="N901" s="3"/>
    </row>
    <row r="902" spans="3:14" ht="15.75" customHeight="1">
      <c r="C902" s="4"/>
      <c r="N902" s="3"/>
    </row>
    <row r="903" spans="3:14" ht="15.75" customHeight="1">
      <c r="C903" s="4"/>
      <c r="N903" s="3"/>
    </row>
    <row r="904" spans="3:14" ht="15.75" customHeight="1">
      <c r="C904" s="4"/>
      <c r="N904" s="3"/>
    </row>
    <row r="905" spans="3:14" ht="15.75" customHeight="1">
      <c r="C905" s="4"/>
      <c r="N905" s="3"/>
    </row>
    <row r="906" spans="3:14" ht="15.75" customHeight="1">
      <c r="C906" s="4"/>
      <c r="N906" s="3"/>
    </row>
    <row r="907" spans="3:14" ht="15.75" customHeight="1">
      <c r="C907" s="4"/>
      <c r="N907" s="3"/>
    </row>
    <row r="908" spans="3:14" ht="15.75" customHeight="1">
      <c r="C908" s="4"/>
      <c r="N908" s="3"/>
    </row>
    <row r="909" spans="3:14" ht="15.75" customHeight="1">
      <c r="C909" s="4"/>
      <c r="N909" s="3"/>
    </row>
    <row r="910" spans="3:14" ht="15.75" customHeight="1">
      <c r="C910" s="4"/>
      <c r="N910" s="3"/>
    </row>
    <row r="911" spans="3:14" ht="15.75" customHeight="1">
      <c r="C911" s="4"/>
      <c r="N911" s="3"/>
    </row>
    <row r="912" spans="3:14" ht="15.75" customHeight="1">
      <c r="C912" s="4"/>
      <c r="N912" s="3"/>
    </row>
    <row r="913" spans="3:14" ht="15.75" customHeight="1">
      <c r="C913" s="4"/>
      <c r="N913" s="3"/>
    </row>
    <row r="914" spans="3:14" ht="15.75" customHeight="1">
      <c r="C914" s="4"/>
      <c r="N914" s="3"/>
    </row>
    <row r="915" spans="3:14" ht="15.75" customHeight="1">
      <c r="C915" s="4"/>
      <c r="N915" s="3"/>
    </row>
    <row r="916" spans="3:14" ht="15.75" customHeight="1">
      <c r="C916" s="4"/>
      <c r="N916" s="3"/>
    </row>
    <row r="917" spans="3:14" ht="15.75" customHeight="1">
      <c r="C917" s="4"/>
      <c r="N917" s="3"/>
    </row>
    <row r="918" spans="3:14" ht="15.75" customHeight="1">
      <c r="C918" s="4"/>
      <c r="N918" s="3"/>
    </row>
    <row r="919" spans="3:14" ht="15.75" customHeight="1">
      <c r="C919" s="4"/>
      <c r="N919" s="3"/>
    </row>
    <row r="920" spans="3:14" ht="15.75" customHeight="1">
      <c r="C920" s="4"/>
      <c r="N920" s="3"/>
    </row>
    <row r="921" spans="3:14" ht="15.75" customHeight="1">
      <c r="C921" s="4"/>
      <c r="N921" s="3"/>
    </row>
    <row r="922" spans="3:14" ht="15.75" customHeight="1">
      <c r="C922" s="4"/>
      <c r="N922" s="3"/>
    </row>
    <row r="923" spans="3:14" ht="15.75" customHeight="1">
      <c r="C923" s="4"/>
      <c r="N923" s="3"/>
    </row>
    <row r="924" spans="3:14" ht="15.75" customHeight="1">
      <c r="C924" s="4"/>
      <c r="N924" s="3"/>
    </row>
    <row r="925" spans="3:14" ht="15.75" customHeight="1">
      <c r="C925" s="4"/>
      <c r="N925" s="3"/>
    </row>
    <row r="926" spans="3:14" ht="15.75" customHeight="1">
      <c r="C926" s="4"/>
      <c r="N926" s="3"/>
    </row>
    <row r="927" spans="3:14" ht="15.75" customHeight="1">
      <c r="C927" s="4"/>
      <c r="N927" s="3"/>
    </row>
    <row r="928" spans="3:14" ht="15.75" customHeight="1">
      <c r="C928" s="4"/>
      <c r="N928" s="3"/>
    </row>
    <row r="929" spans="3:14" ht="15.75" customHeight="1">
      <c r="C929" s="4"/>
      <c r="N929" s="3"/>
    </row>
    <row r="930" spans="3:14" ht="15.75" customHeight="1">
      <c r="C930" s="4"/>
      <c r="N930" s="3"/>
    </row>
    <row r="931" spans="3:14" ht="15.75" customHeight="1">
      <c r="C931" s="4"/>
      <c r="N931" s="3"/>
    </row>
    <row r="932" spans="3:14" ht="15.75" customHeight="1">
      <c r="C932" s="4"/>
      <c r="N932" s="3"/>
    </row>
    <row r="933" spans="3:14" ht="15.75" customHeight="1">
      <c r="C933" s="4"/>
      <c r="N933" s="3"/>
    </row>
    <row r="934" spans="3:14" ht="15.75" customHeight="1">
      <c r="C934" s="4"/>
      <c r="N934" s="3"/>
    </row>
    <row r="935" spans="3:14" ht="15.75" customHeight="1">
      <c r="C935" s="4"/>
      <c r="N935" s="3"/>
    </row>
    <row r="936" spans="3:14" ht="15.75" customHeight="1">
      <c r="C936" s="4"/>
      <c r="N936" s="3"/>
    </row>
    <row r="937" spans="3:14" ht="15.75" customHeight="1">
      <c r="C937" s="4"/>
      <c r="N937" s="3"/>
    </row>
    <row r="938" spans="3:14" ht="15.75" customHeight="1">
      <c r="C938" s="4"/>
      <c r="N938" s="3"/>
    </row>
    <row r="939" spans="3:14" ht="15.75" customHeight="1">
      <c r="C939" s="4"/>
      <c r="N939" s="3"/>
    </row>
    <row r="940" spans="3:14" ht="15.75" customHeight="1">
      <c r="C940" s="4"/>
      <c r="N940" s="3"/>
    </row>
    <row r="941" spans="3:14" ht="15.75" customHeight="1">
      <c r="C941" s="4"/>
      <c r="N941" s="3"/>
    </row>
    <row r="942" spans="3:14" ht="15.75" customHeight="1">
      <c r="C942" s="4"/>
      <c r="N942" s="3"/>
    </row>
    <row r="943" spans="3:14" ht="15.75" customHeight="1">
      <c r="C943" s="4"/>
      <c r="N943" s="3"/>
    </row>
    <row r="944" spans="3:14" ht="15.75" customHeight="1">
      <c r="C944" s="4"/>
      <c r="N944" s="3"/>
    </row>
    <row r="945" spans="3:14" ht="15.75" customHeight="1">
      <c r="C945" s="4"/>
      <c r="N945" s="3"/>
    </row>
    <row r="946" spans="3:14" ht="15.75" customHeight="1">
      <c r="C946" s="4"/>
      <c r="N946" s="3"/>
    </row>
    <row r="947" spans="3:14" ht="15.75" customHeight="1">
      <c r="C947" s="4"/>
      <c r="N947" s="3"/>
    </row>
    <row r="948" spans="3:14" ht="15.75" customHeight="1">
      <c r="C948" s="4"/>
      <c r="N948" s="3"/>
    </row>
    <row r="949" spans="3:14" ht="15.75" customHeight="1">
      <c r="C949" s="4"/>
      <c r="N949" s="3"/>
    </row>
    <row r="950" spans="3:14" ht="15.75" customHeight="1">
      <c r="C950" s="4"/>
      <c r="N950" s="3"/>
    </row>
    <row r="951" spans="3:14" ht="15.75" customHeight="1">
      <c r="C951" s="4"/>
      <c r="N951" s="3"/>
    </row>
    <row r="952" spans="3:14" ht="15.75" customHeight="1">
      <c r="C952" s="4"/>
      <c r="N952" s="3"/>
    </row>
    <row r="953" spans="3:14" ht="15.75" customHeight="1">
      <c r="C953" s="4"/>
      <c r="N953" s="3"/>
    </row>
    <row r="954" spans="3:14" ht="15.75" customHeight="1">
      <c r="C954" s="4"/>
      <c r="N954" s="3"/>
    </row>
    <row r="955" spans="3:14" ht="15.75" customHeight="1">
      <c r="C955" s="4"/>
      <c r="N955" s="3"/>
    </row>
    <row r="956" spans="3:14" ht="15.75" customHeight="1">
      <c r="C956" s="4"/>
      <c r="N956" s="3"/>
    </row>
    <row r="957" spans="3:14" ht="15.75" customHeight="1">
      <c r="C957" s="4"/>
      <c r="N957" s="3"/>
    </row>
    <row r="958" spans="3:14" ht="15.75" customHeight="1">
      <c r="C958" s="4"/>
      <c r="N958" s="3"/>
    </row>
    <row r="959" spans="3:14" ht="15.75" customHeight="1">
      <c r="C959" s="4"/>
      <c r="N959" s="3"/>
    </row>
    <row r="960" spans="3:14" ht="15.75" customHeight="1">
      <c r="C960" s="4"/>
      <c r="N960" s="3"/>
    </row>
    <row r="961" spans="3:14" ht="15.75" customHeight="1">
      <c r="C961" s="4"/>
      <c r="N961" s="3"/>
    </row>
    <row r="962" spans="3:14" ht="15.75" customHeight="1">
      <c r="C962" s="4"/>
      <c r="N962" s="3"/>
    </row>
    <row r="963" spans="3:14" ht="15.75" customHeight="1">
      <c r="C963" s="4"/>
      <c r="N963" s="3"/>
    </row>
    <row r="964" spans="3:14" ht="15.75" customHeight="1">
      <c r="C964" s="4"/>
      <c r="N964" s="3"/>
    </row>
    <row r="965" spans="3:14" ht="15.75" customHeight="1">
      <c r="C965" s="4"/>
      <c r="N965" s="3"/>
    </row>
    <row r="966" spans="3:14" ht="15.75" customHeight="1">
      <c r="C966" s="4"/>
      <c r="N966" s="3"/>
    </row>
    <row r="967" spans="3:14" ht="15.75" customHeight="1">
      <c r="C967" s="4"/>
      <c r="N967" s="3"/>
    </row>
    <row r="968" spans="3:14" ht="15.75" customHeight="1">
      <c r="C968" s="4"/>
      <c r="N968" s="3"/>
    </row>
    <row r="969" spans="3:14" ht="15.75" customHeight="1">
      <c r="C969" s="4"/>
      <c r="N969" s="3"/>
    </row>
    <row r="970" spans="3:14" ht="15.75" customHeight="1">
      <c r="C970" s="4"/>
      <c r="N970" s="3"/>
    </row>
    <row r="971" spans="3:14" ht="15.75" customHeight="1">
      <c r="C971" s="4"/>
      <c r="N971" s="3"/>
    </row>
    <row r="972" spans="3:14" ht="15.75" customHeight="1">
      <c r="C972" s="4"/>
      <c r="N972" s="3"/>
    </row>
    <row r="973" spans="3:14" ht="15.75" customHeight="1">
      <c r="C973" s="4"/>
      <c r="N973" s="3"/>
    </row>
    <row r="974" spans="3:14" ht="15.75" customHeight="1">
      <c r="C974" s="4"/>
      <c r="N974" s="3"/>
    </row>
    <row r="975" spans="3:14" ht="15.75" customHeight="1">
      <c r="C975" s="4"/>
      <c r="N975" s="3"/>
    </row>
    <row r="976" spans="3:14" ht="15.75" customHeight="1">
      <c r="C976" s="4"/>
      <c r="N976" s="3"/>
    </row>
    <row r="977" spans="3:14" ht="15.75" customHeight="1">
      <c r="C977" s="4"/>
      <c r="N977" s="3"/>
    </row>
    <row r="978" spans="3:14" ht="15.75" customHeight="1">
      <c r="C978" s="4"/>
      <c r="N978" s="3"/>
    </row>
    <row r="979" spans="3:14" ht="15.75" customHeight="1">
      <c r="C979" s="4"/>
      <c r="N979" s="3"/>
    </row>
    <row r="980" spans="3:14" ht="15.75" customHeight="1">
      <c r="C980" s="4"/>
      <c r="N980" s="3"/>
    </row>
    <row r="981" spans="3:14" ht="15.75" customHeight="1">
      <c r="C981" s="4"/>
      <c r="N981" s="3"/>
    </row>
    <row r="982" spans="3:14" ht="15.75" customHeight="1">
      <c r="C982" s="4"/>
      <c r="N982" s="3"/>
    </row>
    <row r="983" spans="3:14" ht="15.75" customHeight="1">
      <c r="C983" s="4"/>
      <c r="N983" s="3"/>
    </row>
    <row r="984" spans="3:14" ht="15.75" customHeight="1">
      <c r="C984" s="4"/>
      <c r="N984" s="3"/>
    </row>
    <row r="985" spans="3:14" ht="15.75" customHeight="1">
      <c r="C985" s="4"/>
      <c r="N985" s="3"/>
    </row>
    <row r="986" spans="3:14" ht="15.75" customHeight="1">
      <c r="C986" s="4"/>
      <c r="N986" s="3"/>
    </row>
    <row r="987" spans="3:14" ht="15.75" customHeight="1">
      <c r="C987" s="4"/>
      <c r="N987" s="3"/>
    </row>
    <row r="988" spans="3:14" ht="15.75" customHeight="1">
      <c r="C988" s="4"/>
      <c r="N988" s="3"/>
    </row>
    <row r="989" spans="3:14" ht="15.75" customHeight="1">
      <c r="C989" s="4"/>
      <c r="N989" s="3"/>
    </row>
    <row r="990" spans="3:14" ht="15.75" customHeight="1">
      <c r="C990" s="4"/>
      <c r="N990" s="3"/>
    </row>
    <row r="991" spans="3:14" ht="15.75" customHeight="1">
      <c r="C991" s="4"/>
      <c r="N991" s="3"/>
    </row>
    <row r="992" spans="3:14" ht="15.75" customHeight="1">
      <c r="C992" s="4"/>
      <c r="N992" s="3"/>
    </row>
    <row r="993" spans="3:14" ht="15.75" customHeight="1">
      <c r="C993" s="4"/>
      <c r="N993" s="3"/>
    </row>
    <row r="994" spans="3:14" ht="15.75" customHeight="1">
      <c r="C994" s="4"/>
      <c r="N994" s="3"/>
    </row>
    <row r="995" spans="3:14" ht="15.75" customHeight="1">
      <c r="C995" s="4"/>
      <c r="N995" s="3"/>
    </row>
    <row r="996" spans="3:14" ht="15.75" customHeight="1">
      <c r="C996" s="4"/>
      <c r="N996" s="3"/>
    </row>
    <row r="997" spans="3:14" ht="15.75" customHeight="1">
      <c r="C997" s="4"/>
      <c r="N997" s="3"/>
    </row>
    <row r="998" spans="3:14" ht="15.75" customHeight="1">
      <c r="C998" s="4"/>
      <c r="N998" s="3"/>
    </row>
    <row r="999" spans="3:14" ht="15.75" customHeight="1">
      <c r="C999" s="4"/>
      <c r="N999" s="3"/>
    </row>
  </sheetData>
  <autoFilter ref="A1:K69" xr:uid="{00000000-0009-0000-0000-000000000000}"/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Lookups!$B$11:$B$15</xm:f>
          </x14:formula1>
          <xm:sqref>C70:C999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1000"/>
  <sheetViews>
    <sheetView workbookViewId="0"/>
  </sheetViews>
  <sheetFormatPr baseColWidth="10" defaultColWidth="11.1640625" defaultRowHeight="15" customHeight="1"/>
  <cols>
    <col min="1" max="1" width="19.5" customWidth="1"/>
    <col min="2" max="2" width="10.5" customWidth="1"/>
    <col min="3" max="3" width="16.83203125" customWidth="1"/>
    <col min="4" max="26" width="10.5" customWidth="1"/>
  </cols>
  <sheetData>
    <row r="1" spans="1:15" ht="15.75" customHeight="1">
      <c r="A1" s="1" t="s">
        <v>76</v>
      </c>
      <c r="B1" s="1" t="s">
        <v>1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</row>
    <row r="2" spans="1:15" ht="15.75" customHeight="1">
      <c r="A2" s="4" t="s">
        <v>90</v>
      </c>
      <c r="B2" s="4">
        <v>2</v>
      </c>
      <c r="C2" s="2" t="s">
        <v>91</v>
      </c>
      <c r="D2" s="4">
        <v>150</v>
      </c>
      <c r="E2" s="4">
        <v>150</v>
      </c>
      <c r="F2" s="4">
        <v>150</v>
      </c>
      <c r="G2" s="4">
        <v>150</v>
      </c>
      <c r="H2" s="4">
        <v>80</v>
      </c>
      <c r="I2" s="4">
        <v>40</v>
      </c>
      <c r="J2" s="4">
        <v>40</v>
      </c>
      <c r="K2" s="4">
        <v>40</v>
      </c>
      <c r="L2" s="4">
        <v>40</v>
      </c>
      <c r="M2" s="4">
        <v>80</v>
      </c>
      <c r="N2" s="4">
        <v>150</v>
      </c>
      <c r="O2" s="4">
        <v>150</v>
      </c>
    </row>
    <row r="3" spans="1:15" ht="15.75" customHeight="1">
      <c r="A3" s="4" t="s">
        <v>90</v>
      </c>
      <c r="B3" s="4">
        <v>2</v>
      </c>
      <c r="C3" s="2" t="s">
        <v>92</v>
      </c>
      <c r="D3" s="4">
        <v>123</v>
      </c>
      <c r="E3" s="4">
        <v>150</v>
      </c>
    </row>
    <row r="4" spans="1:15" ht="15.75" customHeight="1">
      <c r="A4" s="4" t="s">
        <v>90</v>
      </c>
      <c r="B4" s="4">
        <v>4</v>
      </c>
      <c r="C4" s="2" t="s">
        <v>91</v>
      </c>
      <c r="D4" s="4">
        <v>150</v>
      </c>
      <c r="E4" s="4">
        <v>150</v>
      </c>
      <c r="F4" s="4">
        <v>150</v>
      </c>
      <c r="G4" s="4">
        <v>150</v>
      </c>
      <c r="H4" s="4">
        <v>80</v>
      </c>
      <c r="I4" s="4">
        <v>40</v>
      </c>
      <c r="J4" s="4">
        <v>40</v>
      </c>
      <c r="K4" s="4">
        <v>40</v>
      </c>
      <c r="L4" s="4">
        <v>40</v>
      </c>
      <c r="M4" s="4">
        <v>80</v>
      </c>
      <c r="N4" s="4">
        <v>150</v>
      </c>
      <c r="O4" s="4">
        <v>150</v>
      </c>
    </row>
    <row r="5" spans="1:15" ht="15.75" customHeight="1">
      <c r="A5" s="4" t="s">
        <v>90</v>
      </c>
      <c r="B5" s="4">
        <v>5</v>
      </c>
      <c r="C5" s="2" t="s">
        <v>91</v>
      </c>
      <c r="D5" s="4">
        <v>150</v>
      </c>
      <c r="E5" s="4">
        <v>150</v>
      </c>
      <c r="F5" s="4">
        <v>150</v>
      </c>
      <c r="G5" s="4">
        <v>150</v>
      </c>
      <c r="H5" s="4">
        <v>80</v>
      </c>
      <c r="I5" s="4">
        <v>40</v>
      </c>
      <c r="J5" s="4">
        <v>40</v>
      </c>
      <c r="K5" s="4">
        <v>40</v>
      </c>
      <c r="L5" s="4">
        <v>40</v>
      </c>
      <c r="M5" s="4">
        <v>80</v>
      </c>
      <c r="N5" s="4">
        <v>150</v>
      </c>
      <c r="O5" s="4">
        <v>150</v>
      </c>
    </row>
    <row r="6" spans="1:15" ht="15.75" customHeight="1">
      <c r="A6" s="4" t="s">
        <v>90</v>
      </c>
      <c r="B6" s="4">
        <v>6</v>
      </c>
      <c r="C6" s="2" t="s">
        <v>91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 ht="15.75" hidden="1" customHeight="1">
      <c r="A7" s="4" t="s">
        <v>90</v>
      </c>
      <c r="B7" s="4">
        <v>0</v>
      </c>
      <c r="C7" s="2" t="s">
        <v>91</v>
      </c>
      <c r="D7" s="4">
        <v>150</v>
      </c>
      <c r="E7" s="4">
        <v>150</v>
      </c>
      <c r="F7" s="4">
        <v>150</v>
      </c>
      <c r="G7" s="4">
        <v>150</v>
      </c>
      <c r="H7" s="4">
        <v>150</v>
      </c>
      <c r="I7" s="4">
        <v>80</v>
      </c>
      <c r="J7" s="4">
        <v>80</v>
      </c>
      <c r="K7" s="4">
        <v>80</v>
      </c>
      <c r="L7" s="4">
        <v>80</v>
      </c>
      <c r="M7" s="4">
        <v>80</v>
      </c>
      <c r="N7" s="4">
        <v>150</v>
      </c>
      <c r="O7" s="4">
        <v>150</v>
      </c>
    </row>
    <row r="8" spans="1:15" ht="15.75" hidden="1" customHeight="1">
      <c r="A8" s="4" t="s">
        <v>90</v>
      </c>
      <c r="B8" s="4">
        <v>8</v>
      </c>
      <c r="C8" s="2" t="s">
        <v>91</v>
      </c>
      <c r="D8" s="4">
        <v>80</v>
      </c>
      <c r="E8" s="4">
        <v>50</v>
      </c>
      <c r="F8" s="4">
        <v>50</v>
      </c>
      <c r="G8" s="4">
        <v>50</v>
      </c>
      <c r="H8" s="4">
        <v>50</v>
      </c>
      <c r="I8" s="4">
        <v>30</v>
      </c>
      <c r="J8" s="4">
        <v>30</v>
      </c>
      <c r="K8" s="4">
        <v>30</v>
      </c>
      <c r="L8" s="4">
        <v>30</v>
      </c>
      <c r="M8" s="4">
        <v>50</v>
      </c>
      <c r="N8" s="4">
        <v>50</v>
      </c>
      <c r="O8" s="4">
        <v>80</v>
      </c>
    </row>
    <row r="9" spans="1:15" ht="15.75" customHeight="1">
      <c r="A9" s="4" t="s">
        <v>90</v>
      </c>
      <c r="B9" s="4">
        <v>7</v>
      </c>
      <c r="C9" s="2" t="s">
        <v>91</v>
      </c>
      <c r="D9" s="4">
        <v>30</v>
      </c>
      <c r="E9" s="4">
        <v>30</v>
      </c>
      <c r="F9" s="4">
        <v>30</v>
      </c>
      <c r="G9" s="4">
        <v>30</v>
      </c>
      <c r="H9" s="4">
        <v>30</v>
      </c>
      <c r="I9" s="4">
        <v>30</v>
      </c>
      <c r="J9" s="4">
        <v>30</v>
      </c>
      <c r="K9" s="4">
        <v>30</v>
      </c>
      <c r="L9" s="4">
        <v>30</v>
      </c>
      <c r="M9" s="4">
        <v>30</v>
      </c>
      <c r="N9" s="4">
        <v>30</v>
      </c>
      <c r="O9" s="4">
        <v>30</v>
      </c>
    </row>
    <row r="10" spans="1:15" ht="15.75" hidden="1" customHeight="1">
      <c r="A10" s="4" t="s">
        <v>93</v>
      </c>
      <c r="B10" s="4">
        <v>0</v>
      </c>
      <c r="C10" s="2" t="s">
        <v>91</v>
      </c>
      <c r="D10" s="5">
        <v>300</v>
      </c>
      <c r="E10" s="5">
        <v>300</v>
      </c>
      <c r="F10" s="5">
        <v>300</v>
      </c>
      <c r="G10" s="4">
        <v>200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5">
        <v>300</v>
      </c>
      <c r="O10" s="5">
        <v>300</v>
      </c>
    </row>
    <row r="11" spans="1:15" ht="15.75" hidden="1" customHeight="1"/>
    <row r="12" spans="1:15" ht="15.75" hidden="1" customHeight="1"/>
    <row r="13" spans="1:15" ht="15.75" hidden="1" customHeight="1"/>
    <row r="14" spans="1:15" ht="15.75" hidden="1" customHeight="1"/>
    <row r="15" spans="1:15" ht="15.75" hidden="1" customHeight="1"/>
    <row r="16" spans="1:15" ht="15.75" hidden="1" customHeight="1"/>
    <row r="17" ht="15.75" hidden="1" customHeight="1"/>
    <row r="18" ht="15.75" hidden="1" customHeight="1"/>
    <row r="19" ht="15.75" hidden="1" customHeight="1"/>
    <row r="20" ht="15.75" hidden="1" customHeight="1"/>
    <row r="21" ht="15.75" hidden="1" customHeight="1"/>
    <row r="22" ht="15.75" hidden="1" customHeight="1"/>
    <row r="23" ht="15.75" hidden="1" customHeight="1"/>
    <row r="24" ht="15.75" hidden="1" customHeight="1"/>
    <row r="25" ht="15.75" hidden="1" customHeight="1"/>
    <row r="26" ht="15.75" hidden="1" customHeight="1"/>
    <row r="27" ht="15.75" hidden="1" customHeight="1"/>
    <row r="28" ht="15.75" hidden="1" customHeight="1"/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B1:B1000" xr:uid="{00000000-0009-0000-0000-000001000000}">
    <filterColumn colId="0">
      <filters>
        <filter val="2"/>
        <filter val="4"/>
        <filter val="5"/>
        <filter val="6"/>
        <filter val="7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992"/>
  <sheetViews>
    <sheetView workbookViewId="0"/>
  </sheetViews>
  <sheetFormatPr baseColWidth="10" defaultColWidth="11.1640625" defaultRowHeight="15" customHeight="1"/>
  <cols>
    <col min="1" max="1" width="19.5" customWidth="1"/>
    <col min="2" max="26" width="10.5" customWidth="1"/>
  </cols>
  <sheetData>
    <row r="1" spans="1:14" ht="15.75" customHeight="1">
      <c r="A1" s="1" t="s">
        <v>76</v>
      </c>
      <c r="B1" s="1" t="s">
        <v>1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</row>
    <row r="2" spans="1:14" ht="15.75" hidden="1" customHeight="1">
      <c r="A2" s="4" t="s">
        <v>94</v>
      </c>
      <c r="B2" s="2">
        <v>0</v>
      </c>
      <c r="C2" s="2">
        <v>500</v>
      </c>
      <c r="D2" s="2">
        <v>500</v>
      </c>
      <c r="E2" s="2">
        <v>500</v>
      </c>
      <c r="F2" s="2">
        <v>500</v>
      </c>
      <c r="G2" s="2">
        <v>500</v>
      </c>
      <c r="H2" s="2">
        <v>500</v>
      </c>
      <c r="I2" s="2">
        <v>500</v>
      </c>
      <c r="J2" s="2">
        <v>500</v>
      </c>
      <c r="K2" s="2">
        <v>500</v>
      </c>
      <c r="L2" s="2">
        <v>500</v>
      </c>
      <c r="M2" s="2">
        <v>500</v>
      </c>
      <c r="N2" s="2">
        <v>500</v>
      </c>
    </row>
    <row r="3" spans="1:14" ht="15.75" hidden="1" customHeight="1">
      <c r="A3" s="4" t="s">
        <v>94</v>
      </c>
      <c r="B3" s="2">
        <v>8</v>
      </c>
      <c r="C3" s="2">
        <v>158</v>
      </c>
      <c r="D3" s="2">
        <v>158</v>
      </c>
      <c r="E3" s="2">
        <v>158</v>
      </c>
      <c r="F3" s="2">
        <v>158</v>
      </c>
      <c r="G3" s="2">
        <v>158</v>
      </c>
      <c r="H3" s="2">
        <v>158</v>
      </c>
      <c r="I3" s="2">
        <v>158</v>
      </c>
      <c r="J3" s="2">
        <v>158</v>
      </c>
      <c r="K3" s="2">
        <v>158</v>
      </c>
      <c r="L3" s="2">
        <v>158</v>
      </c>
      <c r="M3" s="2">
        <v>158</v>
      </c>
      <c r="N3" s="2">
        <v>158</v>
      </c>
    </row>
    <row r="4" spans="1:14" ht="15.75" customHeight="1">
      <c r="A4" s="4" t="s">
        <v>94</v>
      </c>
      <c r="B4" s="4">
        <v>2</v>
      </c>
      <c r="C4" s="6">
        <f>1250*Lookups!F25</f>
        <v>350.2155172413793</v>
      </c>
      <c r="D4" s="6">
        <f t="shared" ref="D4:N4" si="0">C4</f>
        <v>350.2155172413793</v>
      </c>
      <c r="E4" s="6">
        <f t="shared" si="0"/>
        <v>350.2155172413793</v>
      </c>
      <c r="F4" s="6">
        <f t="shared" si="0"/>
        <v>350.2155172413793</v>
      </c>
      <c r="G4" s="6">
        <f t="shared" si="0"/>
        <v>350.2155172413793</v>
      </c>
      <c r="H4" s="6">
        <f t="shared" si="0"/>
        <v>350.2155172413793</v>
      </c>
      <c r="I4" s="6">
        <f t="shared" si="0"/>
        <v>350.2155172413793</v>
      </c>
      <c r="J4" s="6">
        <f t="shared" si="0"/>
        <v>350.2155172413793</v>
      </c>
      <c r="K4" s="6">
        <f t="shared" si="0"/>
        <v>350.2155172413793</v>
      </c>
      <c r="L4" s="6">
        <f t="shared" si="0"/>
        <v>350.2155172413793</v>
      </c>
      <c r="M4" s="6">
        <f t="shared" si="0"/>
        <v>350.2155172413793</v>
      </c>
      <c r="N4" s="6">
        <f t="shared" si="0"/>
        <v>350.2155172413793</v>
      </c>
    </row>
    <row r="5" spans="1:14" ht="15.75" customHeight="1">
      <c r="A5" s="4" t="s">
        <v>94</v>
      </c>
      <c r="B5" s="4">
        <v>4</v>
      </c>
      <c r="C5" s="6">
        <f>1250*Lookups!F26</f>
        <v>226.29310344827587</v>
      </c>
      <c r="D5" s="6">
        <f t="shared" ref="D5:N5" si="1">C5</f>
        <v>226.29310344827587</v>
      </c>
      <c r="E5" s="6">
        <f t="shared" si="1"/>
        <v>226.29310344827587</v>
      </c>
      <c r="F5" s="6">
        <f t="shared" si="1"/>
        <v>226.29310344827587</v>
      </c>
      <c r="G5" s="6">
        <f t="shared" si="1"/>
        <v>226.29310344827587</v>
      </c>
      <c r="H5" s="6">
        <f t="shared" si="1"/>
        <v>226.29310344827587</v>
      </c>
      <c r="I5" s="6">
        <f t="shared" si="1"/>
        <v>226.29310344827587</v>
      </c>
      <c r="J5" s="6">
        <f t="shared" si="1"/>
        <v>226.29310344827587</v>
      </c>
      <c r="K5" s="6">
        <f t="shared" si="1"/>
        <v>226.29310344827587</v>
      </c>
      <c r="L5" s="6">
        <f t="shared" si="1"/>
        <v>226.29310344827587</v>
      </c>
      <c r="M5" s="6">
        <f t="shared" si="1"/>
        <v>226.29310344827587</v>
      </c>
      <c r="N5" s="6">
        <f t="shared" si="1"/>
        <v>226.29310344827587</v>
      </c>
    </row>
    <row r="6" spans="1:14" ht="15.75" customHeight="1">
      <c r="A6" s="4" t="s">
        <v>94</v>
      </c>
      <c r="B6" s="4">
        <v>5</v>
      </c>
      <c r="C6" s="6">
        <f>1250*Lookups!F27</f>
        <v>145.47413793103448</v>
      </c>
      <c r="D6" s="6">
        <f t="shared" ref="D6:N6" si="2">C6</f>
        <v>145.47413793103448</v>
      </c>
      <c r="E6" s="6">
        <f t="shared" si="2"/>
        <v>145.47413793103448</v>
      </c>
      <c r="F6" s="6">
        <f t="shared" si="2"/>
        <v>145.47413793103448</v>
      </c>
      <c r="G6" s="6">
        <f t="shared" si="2"/>
        <v>145.47413793103448</v>
      </c>
      <c r="H6" s="6">
        <f t="shared" si="2"/>
        <v>145.47413793103448</v>
      </c>
      <c r="I6" s="6">
        <f t="shared" si="2"/>
        <v>145.47413793103448</v>
      </c>
      <c r="J6" s="6">
        <f t="shared" si="2"/>
        <v>145.47413793103448</v>
      </c>
      <c r="K6" s="6">
        <f t="shared" si="2"/>
        <v>145.47413793103448</v>
      </c>
      <c r="L6" s="6">
        <f t="shared" si="2"/>
        <v>145.47413793103448</v>
      </c>
      <c r="M6" s="6">
        <f t="shared" si="2"/>
        <v>145.47413793103448</v>
      </c>
      <c r="N6" s="6">
        <f t="shared" si="2"/>
        <v>145.47413793103448</v>
      </c>
    </row>
    <row r="7" spans="1:14" ht="15.75" hidden="1" customHeight="1">
      <c r="A7" s="4" t="s">
        <v>94</v>
      </c>
      <c r="B7" s="4">
        <v>6</v>
      </c>
      <c r="C7" s="6">
        <f>1250*Lookups!F28</f>
        <v>206.5373563218391</v>
      </c>
      <c r="D7" s="6">
        <f t="shared" ref="D7:N7" si="3">C7</f>
        <v>206.5373563218391</v>
      </c>
      <c r="E7" s="6">
        <f t="shared" si="3"/>
        <v>206.5373563218391</v>
      </c>
      <c r="F7" s="6">
        <f t="shared" si="3"/>
        <v>206.5373563218391</v>
      </c>
      <c r="G7" s="6">
        <f t="shared" si="3"/>
        <v>206.5373563218391</v>
      </c>
      <c r="H7" s="6">
        <f t="shared" si="3"/>
        <v>206.5373563218391</v>
      </c>
      <c r="I7" s="6">
        <f t="shared" si="3"/>
        <v>206.5373563218391</v>
      </c>
      <c r="J7" s="6">
        <f t="shared" si="3"/>
        <v>206.5373563218391</v>
      </c>
      <c r="K7" s="6">
        <f t="shared" si="3"/>
        <v>206.5373563218391</v>
      </c>
      <c r="L7" s="6">
        <f t="shared" si="3"/>
        <v>206.5373563218391</v>
      </c>
      <c r="M7" s="6">
        <f t="shared" si="3"/>
        <v>206.5373563218391</v>
      </c>
      <c r="N7" s="6">
        <f t="shared" si="3"/>
        <v>206.5373563218391</v>
      </c>
    </row>
    <row r="8" spans="1:14" ht="15.75" customHeight="1">
      <c r="A8" s="4" t="s">
        <v>94</v>
      </c>
      <c r="B8" s="4">
        <v>7</v>
      </c>
      <c r="C8" s="6">
        <f>1250*Lookups!F29</f>
        <v>321.47988505747128</v>
      </c>
      <c r="D8" s="6">
        <f t="shared" ref="D8:N8" si="4">C8</f>
        <v>321.47988505747128</v>
      </c>
      <c r="E8" s="6">
        <f t="shared" si="4"/>
        <v>321.47988505747128</v>
      </c>
      <c r="F8" s="6">
        <f t="shared" si="4"/>
        <v>321.47988505747128</v>
      </c>
      <c r="G8" s="6">
        <f t="shared" si="4"/>
        <v>321.47988505747128</v>
      </c>
      <c r="H8" s="6">
        <f t="shared" si="4"/>
        <v>321.47988505747128</v>
      </c>
      <c r="I8" s="6">
        <f t="shared" si="4"/>
        <v>321.47988505747128</v>
      </c>
      <c r="J8" s="6">
        <f t="shared" si="4"/>
        <v>321.47988505747128</v>
      </c>
      <c r="K8" s="6">
        <f t="shared" si="4"/>
        <v>321.47988505747128</v>
      </c>
      <c r="L8" s="6">
        <f t="shared" si="4"/>
        <v>321.47988505747128</v>
      </c>
      <c r="M8" s="6">
        <f t="shared" si="4"/>
        <v>321.47988505747128</v>
      </c>
      <c r="N8" s="6">
        <f t="shared" si="4"/>
        <v>321.47988505747128</v>
      </c>
    </row>
    <row r="9" spans="1:14" ht="15.75" customHeight="1">
      <c r="A9" s="4" t="s">
        <v>95</v>
      </c>
      <c r="B9" s="4">
        <v>2</v>
      </c>
      <c r="C9" s="4">
        <v>93</v>
      </c>
      <c r="D9" s="4">
        <v>93</v>
      </c>
      <c r="E9" s="4">
        <v>93</v>
      </c>
      <c r="F9" s="4">
        <v>93</v>
      </c>
      <c r="G9" s="4">
        <v>93</v>
      </c>
      <c r="H9" s="4">
        <v>93</v>
      </c>
      <c r="I9" s="4">
        <v>93</v>
      </c>
      <c r="J9" s="4">
        <v>93</v>
      </c>
      <c r="K9" s="4">
        <v>93</v>
      </c>
      <c r="L9" s="4">
        <v>93</v>
      </c>
      <c r="M9" s="4">
        <v>93</v>
      </c>
      <c r="N9" s="4">
        <v>93</v>
      </c>
    </row>
    <row r="10" spans="1:14" ht="15.75" customHeight="1">
      <c r="A10" s="4" t="s">
        <v>95</v>
      </c>
      <c r="B10" s="4">
        <v>4</v>
      </c>
      <c r="C10" s="4">
        <v>62</v>
      </c>
      <c r="D10" s="4">
        <v>62</v>
      </c>
      <c r="E10" s="4">
        <v>62</v>
      </c>
      <c r="F10" s="4">
        <v>62</v>
      </c>
      <c r="G10" s="4">
        <v>62</v>
      </c>
      <c r="H10" s="4">
        <v>62</v>
      </c>
      <c r="I10" s="4">
        <v>62</v>
      </c>
      <c r="J10" s="4">
        <v>62</v>
      </c>
      <c r="K10" s="4">
        <v>62</v>
      </c>
      <c r="L10" s="4">
        <v>62</v>
      </c>
      <c r="M10" s="4">
        <v>62</v>
      </c>
      <c r="N10" s="4">
        <v>62</v>
      </c>
    </row>
    <row r="11" spans="1:14" ht="15.75" customHeight="1">
      <c r="A11" s="4" t="s">
        <v>95</v>
      </c>
      <c r="B11" s="4">
        <v>5</v>
      </c>
      <c r="C11" s="4">
        <v>40</v>
      </c>
      <c r="D11" s="4">
        <v>40</v>
      </c>
      <c r="E11" s="4">
        <v>40</v>
      </c>
      <c r="F11" s="4">
        <v>40</v>
      </c>
      <c r="G11" s="4">
        <v>40</v>
      </c>
      <c r="H11" s="4">
        <v>40</v>
      </c>
      <c r="I11" s="4">
        <v>40</v>
      </c>
      <c r="J11" s="4">
        <v>40</v>
      </c>
      <c r="K11" s="4">
        <v>40</v>
      </c>
      <c r="L11" s="4">
        <v>40</v>
      </c>
      <c r="M11" s="4">
        <v>40</v>
      </c>
      <c r="N11" s="4">
        <v>40</v>
      </c>
    </row>
    <row r="12" spans="1:14" ht="15.75" hidden="1" customHeight="1">
      <c r="A12" s="4" t="s">
        <v>95</v>
      </c>
      <c r="B12" s="4">
        <v>6</v>
      </c>
      <c r="C12" s="4">
        <v>57</v>
      </c>
      <c r="D12" s="4">
        <v>57</v>
      </c>
      <c r="E12" s="4">
        <v>57</v>
      </c>
      <c r="F12" s="4">
        <v>57</v>
      </c>
      <c r="G12" s="4">
        <v>57</v>
      </c>
      <c r="H12" s="4">
        <v>57</v>
      </c>
      <c r="I12" s="4">
        <v>57</v>
      </c>
      <c r="J12" s="4">
        <v>57</v>
      </c>
      <c r="K12" s="4">
        <v>57</v>
      </c>
      <c r="L12" s="4">
        <v>57</v>
      </c>
      <c r="M12" s="4">
        <v>57</v>
      </c>
      <c r="N12" s="4">
        <v>57</v>
      </c>
    </row>
    <row r="13" spans="1:14" ht="15.75" customHeight="1">
      <c r="A13" s="4" t="s">
        <v>95</v>
      </c>
      <c r="B13" s="4">
        <v>7</v>
      </c>
      <c r="C13" s="4">
        <v>47</v>
      </c>
      <c r="D13" s="4">
        <v>47</v>
      </c>
      <c r="E13" s="4">
        <v>47</v>
      </c>
      <c r="F13" s="4">
        <v>47</v>
      </c>
      <c r="G13" s="4">
        <v>47</v>
      </c>
      <c r="H13" s="4">
        <v>47</v>
      </c>
      <c r="I13" s="4">
        <v>47</v>
      </c>
      <c r="J13" s="4">
        <v>47</v>
      </c>
      <c r="K13" s="4">
        <v>47</v>
      </c>
      <c r="L13" s="4">
        <v>47</v>
      </c>
      <c r="M13" s="4">
        <v>47</v>
      </c>
      <c r="N13" s="4">
        <v>47</v>
      </c>
    </row>
    <row r="14" spans="1:14" ht="15.75" customHeight="1">
      <c r="A14" s="4" t="s">
        <v>96</v>
      </c>
      <c r="B14" s="4">
        <v>2</v>
      </c>
      <c r="C14" s="4">
        <v>20</v>
      </c>
      <c r="D14" s="4">
        <v>20</v>
      </c>
      <c r="E14" s="4">
        <v>20</v>
      </c>
      <c r="F14" s="4">
        <v>20</v>
      </c>
      <c r="G14" s="4">
        <v>20</v>
      </c>
      <c r="H14" s="4">
        <v>20</v>
      </c>
      <c r="I14" s="4">
        <v>20</v>
      </c>
      <c r="J14" s="4">
        <v>20</v>
      </c>
      <c r="K14" s="4">
        <v>20</v>
      </c>
      <c r="L14" s="4">
        <v>20</v>
      </c>
      <c r="M14" s="4">
        <v>20</v>
      </c>
      <c r="N14" s="4">
        <v>20</v>
      </c>
    </row>
    <row r="15" spans="1:14" ht="15.75" customHeight="1">
      <c r="A15" s="4" t="s">
        <v>96</v>
      </c>
      <c r="B15" s="4">
        <v>4</v>
      </c>
      <c r="C15" s="4">
        <v>20</v>
      </c>
      <c r="D15" s="4">
        <v>20</v>
      </c>
      <c r="E15" s="4">
        <v>20</v>
      </c>
      <c r="F15" s="4">
        <v>20</v>
      </c>
      <c r="G15" s="4">
        <v>20</v>
      </c>
      <c r="H15" s="4">
        <v>20</v>
      </c>
      <c r="I15" s="4">
        <v>20</v>
      </c>
      <c r="J15" s="4">
        <v>20</v>
      </c>
      <c r="K15" s="4">
        <v>20</v>
      </c>
      <c r="L15" s="4">
        <v>20</v>
      </c>
      <c r="M15" s="4">
        <v>20</v>
      </c>
      <c r="N15" s="4">
        <v>20</v>
      </c>
    </row>
    <row r="16" spans="1:14" ht="15.75" customHeight="1">
      <c r="A16" s="4" t="s">
        <v>96</v>
      </c>
      <c r="B16" s="4">
        <v>5</v>
      </c>
      <c r="C16" s="4">
        <v>20</v>
      </c>
      <c r="D16" s="4">
        <v>20</v>
      </c>
      <c r="E16" s="4">
        <v>20</v>
      </c>
      <c r="F16" s="4">
        <v>20</v>
      </c>
      <c r="G16" s="4">
        <v>20</v>
      </c>
      <c r="H16" s="4">
        <v>20</v>
      </c>
      <c r="I16" s="4">
        <v>20</v>
      </c>
      <c r="J16" s="4">
        <v>20</v>
      </c>
      <c r="K16" s="4">
        <v>20</v>
      </c>
      <c r="L16" s="4">
        <v>20</v>
      </c>
      <c r="M16" s="4">
        <v>20</v>
      </c>
      <c r="N16" s="4">
        <v>20</v>
      </c>
    </row>
    <row r="17" spans="1:14" ht="15.75" hidden="1" customHeight="1">
      <c r="A17" s="4" t="s">
        <v>96</v>
      </c>
      <c r="B17" s="4">
        <v>6</v>
      </c>
      <c r="C17" s="4">
        <v>20</v>
      </c>
      <c r="D17" s="4">
        <v>20</v>
      </c>
      <c r="E17" s="4">
        <v>20</v>
      </c>
      <c r="F17" s="4">
        <v>20</v>
      </c>
      <c r="G17" s="4">
        <v>20</v>
      </c>
      <c r="H17" s="4">
        <v>20</v>
      </c>
      <c r="I17" s="4">
        <v>20</v>
      </c>
      <c r="J17" s="4">
        <v>20</v>
      </c>
      <c r="K17" s="4">
        <v>20</v>
      </c>
      <c r="L17" s="4">
        <v>20</v>
      </c>
      <c r="M17" s="4">
        <v>20</v>
      </c>
      <c r="N17" s="4">
        <v>20</v>
      </c>
    </row>
    <row r="18" spans="1:14" ht="15.75" customHeight="1">
      <c r="A18" s="4" t="s">
        <v>96</v>
      </c>
      <c r="B18" s="4">
        <v>7</v>
      </c>
      <c r="C18" s="4">
        <v>20</v>
      </c>
      <c r="D18" s="4">
        <v>20</v>
      </c>
      <c r="E18" s="4">
        <v>20</v>
      </c>
      <c r="F18" s="4">
        <v>20</v>
      </c>
      <c r="G18" s="4">
        <v>20</v>
      </c>
      <c r="H18" s="4">
        <v>20</v>
      </c>
      <c r="I18" s="4">
        <v>20</v>
      </c>
      <c r="J18" s="4">
        <v>20</v>
      </c>
      <c r="K18" s="4">
        <v>20</v>
      </c>
      <c r="L18" s="4">
        <v>20</v>
      </c>
      <c r="M18" s="4">
        <v>20</v>
      </c>
      <c r="N18" s="4">
        <v>20</v>
      </c>
    </row>
    <row r="19" spans="1:14" ht="15.75" hidden="1" customHeight="1">
      <c r="A19" s="4" t="s">
        <v>96</v>
      </c>
      <c r="B19" s="4">
        <v>8</v>
      </c>
      <c r="C19" s="4">
        <v>20</v>
      </c>
      <c r="D19" s="4">
        <v>20</v>
      </c>
      <c r="E19" s="4">
        <v>20</v>
      </c>
      <c r="F19" s="4">
        <v>20</v>
      </c>
      <c r="G19" s="4">
        <v>20</v>
      </c>
      <c r="H19" s="4">
        <v>20</v>
      </c>
      <c r="I19" s="4">
        <v>20</v>
      </c>
      <c r="J19" s="4">
        <v>20</v>
      </c>
      <c r="K19" s="4">
        <v>20</v>
      </c>
      <c r="L19" s="4">
        <v>20</v>
      </c>
      <c r="M19" s="4">
        <v>20</v>
      </c>
      <c r="N19" s="4">
        <v>20</v>
      </c>
    </row>
    <row r="20" spans="1:14" ht="15.75" hidden="1" customHeight="1">
      <c r="A20" s="4" t="s">
        <v>96</v>
      </c>
      <c r="B20" s="4">
        <v>0</v>
      </c>
      <c r="C20" s="4">
        <v>20</v>
      </c>
      <c r="D20" s="4">
        <v>20</v>
      </c>
      <c r="E20" s="4">
        <v>20</v>
      </c>
      <c r="F20" s="4">
        <v>20</v>
      </c>
      <c r="G20" s="4">
        <v>20</v>
      </c>
      <c r="H20" s="4">
        <v>20</v>
      </c>
      <c r="I20" s="4">
        <v>20</v>
      </c>
      <c r="J20" s="4">
        <v>20</v>
      </c>
      <c r="K20" s="4">
        <v>20</v>
      </c>
      <c r="L20" s="4">
        <v>20</v>
      </c>
      <c r="M20" s="4">
        <v>20</v>
      </c>
      <c r="N20" s="4">
        <v>20</v>
      </c>
    </row>
    <row r="21" spans="1:14" ht="15.75" hidden="1" customHeight="1">
      <c r="A21" s="4" t="s">
        <v>97</v>
      </c>
      <c r="B21" s="4">
        <v>6</v>
      </c>
      <c r="C21" s="4">
        <v>31.71</v>
      </c>
      <c r="D21" s="4">
        <v>31.71</v>
      </c>
      <c r="E21" s="4">
        <v>31.71</v>
      </c>
      <c r="F21" s="4">
        <v>31.71</v>
      </c>
      <c r="G21" s="4">
        <v>31.71</v>
      </c>
      <c r="H21" s="4">
        <v>31.71</v>
      </c>
      <c r="I21" s="4">
        <v>31.71</v>
      </c>
      <c r="J21" s="4">
        <v>31.71</v>
      </c>
      <c r="K21" s="4">
        <v>31.71</v>
      </c>
      <c r="L21" s="4">
        <v>31.71</v>
      </c>
      <c r="M21" s="4">
        <v>31.71</v>
      </c>
      <c r="N21" s="4">
        <v>31.71</v>
      </c>
    </row>
    <row r="22" spans="1:14" ht="15.75" customHeight="1">
      <c r="A22" s="4" t="s">
        <v>98</v>
      </c>
      <c r="B22" s="4">
        <v>2</v>
      </c>
      <c r="C22" s="4">
        <v>31.71</v>
      </c>
      <c r="D22" s="4">
        <v>31.71</v>
      </c>
      <c r="E22" s="4">
        <v>31.71</v>
      </c>
      <c r="F22" s="4">
        <v>31.71</v>
      </c>
      <c r="G22" s="4">
        <v>31.71</v>
      </c>
      <c r="H22" s="4">
        <v>31.71</v>
      </c>
      <c r="I22" s="4">
        <v>31.71</v>
      </c>
      <c r="J22" s="4">
        <v>31.71</v>
      </c>
      <c r="K22" s="4">
        <v>31.71</v>
      </c>
      <c r="L22" s="4">
        <v>31.71</v>
      </c>
      <c r="M22" s="4">
        <v>31.71</v>
      </c>
      <c r="N22" s="4">
        <v>31.71</v>
      </c>
    </row>
    <row r="23" spans="1:14" ht="15.75" customHeight="1">
      <c r="A23" s="4" t="s">
        <v>98</v>
      </c>
      <c r="B23" s="4">
        <v>4</v>
      </c>
      <c r="C23" s="4">
        <v>31.71</v>
      </c>
      <c r="D23" s="4">
        <v>31.71</v>
      </c>
      <c r="E23" s="4">
        <v>31.71</v>
      </c>
      <c r="F23" s="4">
        <v>31.71</v>
      </c>
      <c r="G23" s="4">
        <v>31.71</v>
      </c>
      <c r="H23" s="4">
        <v>31.71</v>
      </c>
      <c r="I23" s="4">
        <v>31.71</v>
      </c>
      <c r="J23" s="4">
        <v>31.71</v>
      </c>
      <c r="K23" s="4">
        <v>31.71</v>
      </c>
      <c r="L23" s="4">
        <v>31.71</v>
      </c>
      <c r="M23" s="4">
        <v>31.71</v>
      </c>
      <c r="N23" s="4">
        <v>31.71</v>
      </c>
    </row>
    <row r="24" spans="1:14" ht="15.75" customHeight="1">
      <c r="A24" s="4" t="s">
        <v>98</v>
      </c>
      <c r="B24" s="4">
        <v>5</v>
      </c>
      <c r="C24" s="4">
        <v>31.71</v>
      </c>
      <c r="D24" s="4">
        <v>31.71</v>
      </c>
      <c r="E24" s="4">
        <v>31.71</v>
      </c>
      <c r="F24" s="4">
        <v>31.71</v>
      </c>
      <c r="G24" s="4">
        <v>31.71</v>
      </c>
      <c r="H24" s="4">
        <v>31.71</v>
      </c>
      <c r="I24" s="4">
        <v>31.71</v>
      </c>
      <c r="J24" s="4">
        <v>31.71</v>
      </c>
      <c r="K24" s="4">
        <v>31.71</v>
      </c>
      <c r="L24" s="4">
        <v>31.71</v>
      </c>
      <c r="M24" s="4">
        <v>31.71</v>
      </c>
      <c r="N24" s="4">
        <v>31.71</v>
      </c>
    </row>
    <row r="25" spans="1:14" ht="15.75" hidden="1" customHeight="1">
      <c r="A25" s="4" t="s">
        <v>98</v>
      </c>
      <c r="B25" s="4">
        <v>0</v>
      </c>
      <c r="C25" s="4">
        <v>48.23</v>
      </c>
      <c r="D25" s="4">
        <v>48.23</v>
      </c>
      <c r="E25" s="4">
        <v>48.23</v>
      </c>
      <c r="F25" s="4">
        <v>48.23</v>
      </c>
      <c r="G25" s="4">
        <v>48.23</v>
      </c>
      <c r="H25" s="4">
        <v>48.23</v>
      </c>
      <c r="I25" s="4">
        <v>48.23</v>
      </c>
      <c r="J25" s="4">
        <v>48.23</v>
      </c>
      <c r="K25" s="4">
        <v>48.23</v>
      </c>
      <c r="L25" s="4">
        <v>48.23</v>
      </c>
      <c r="M25" s="4">
        <v>48.23</v>
      </c>
      <c r="N25" s="4">
        <v>48.23</v>
      </c>
    </row>
    <row r="26" spans="1:14" ht="15.75" customHeight="1">
      <c r="A26" s="4" t="s">
        <v>99</v>
      </c>
      <c r="B26" s="4">
        <v>2</v>
      </c>
      <c r="C26" s="4">
        <v>12</v>
      </c>
      <c r="D26" s="4">
        <v>12</v>
      </c>
      <c r="E26" s="4">
        <v>12</v>
      </c>
      <c r="F26" s="4">
        <v>12</v>
      </c>
      <c r="G26" s="4">
        <v>12</v>
      </c>
      <c r="H26" s="4">
        <v>12</v>
      </c>
      <c r="I26" s="4">
        <v>12</v>
      </c>
      <c r="J26" s="4">
        <v>12</v>
      </c>
      <c r="K26" s="4">
        <v>12</v>
      </c>
      <c r="L26" s="4">
        <v>12</v>
      </c>
      <c r="M26" s="4">
        <v>12</v>
      </c>
      <c r="N26" s="4">
        <v>12</v>
      </c>
    </row>
    <row r="27" spans="1:14" ht="15.75" customHeight="1">
      <c r="A27" s="4" t="s">
        <v>99</v>
      </c>
      <c r="B27" s="4">
        <v>7</v>
      </c>
      <c r="C27" s="4">
        <v>12</v>
      </c>
      <c r="D27" s="4">
        <v>12</v>
      </c>
      <c r="E27" s="4">
        <v>12</v>
      </c>
      <c r="F27" s="4">
        <v>12</v>
      </c>
      <c r="G27" s="4">
        <v>12</v>
      </c>
      <c r="H27" s="4">
        <v>12</v>
      </c>
      <c r="I27" s="4">
        <v>12</v>
      </c>
      <c r="J27" s="4">
        <v>12</v>
      </c>
      <c r="K27" s="4">
        <v>12</v>
      </c>
      <c r="L27" s="4">
        <v>12</v>
      </c>
      <c r="M27" s="4">
        <v>12</v>
      </c>
      <c r="N27" s="4">
        <v>12</v>
      </c>
    </row>
    <row r="28" spans="1:14" ht="15.75" customHeight="1">
      <c r="A28" s="4" t="s">
        <v>100</v>
      </c>
      <c r="B28" s="4">
        <v>2</v>
      </c>
      <c r="C28" s="4">
        <f t="shared" ref="C28:N28" si="5">1800/6/12</f>
        <v>25</v>
      </c>
      <c r="D28" s="4">
        <f t="shared" si="5"/>
        <v>25</v>
      </c>
      <c r="E28" s="4">
        <f t="shared" si="5"/>
        <v>25</v>
      </c>
      <c r="F28" s="4">
        <f t="shared" si="5"/>
        <v>25</v>
      </c>
      <c r="G28" s="4">
        <f t="shared" si="5"/>
        <v>25</v>
      </c>
      <c r="H28" s="4">
        <f t="shared" si="5"/>
        <v>25</v>
      </c>
      <c r="I28" s="4">
        <f t="shared" si="5"/>
        <v>25</v>
      </c>
      <c r="J28" s="4">
        <f t="shared" si="5"/>
        <v>25</v>
      </c>
      <c r="K28" s="4">
        <f t="shared" si="5"/>
        <v>25</v>
      </c>
      <c r="L28" s="4">
        <f t="shared" si="5"/>
        <v>25</v>
      </c>
      <c r="M28" s="4">
        <f t="shared" si="5"/>
        <v>25</v>
      </c>
      <c r="N28" s="4">
        <f t="shared" si="5"/>
        <v>25</v>
      </c>
    </row>
    <row r="29" spans="1:14" ht="15.75" customHeight="1">
      <c r="A29" s="4" t="s">
        <v>100</v>
      </c>
      <c r="B29" s="4">
        <v>4</v>
      </c>
      <c r="C29" s="4">
        <f t="shared" ref="C29:N29" si="6">1800/6/12</f>
        <v>25</v>
      </c>
      <c r="D29" s="4">
        <f t="shared" si="6"/>
        <v>25</v>
      </c>
      <c r="E29" s="4">
        <f t="shared" si="6"/>
        <v>25</v>
      </c>
      <c r="F29" s="4">
        <f t="shared" si="6"/>
        <v>25</v>
      </c>
      <c r="G29" s="4">
        <f t="shared" si="6"/>
        <v>25</v>
      </c>
      <c r="H29" s="4">
        <f t="shared" si="6"/>
        <v>25</v>
      </c>
      <c r="I29" s="4">
        <f t="shared" si="6"/>
        <v>25</v>
      </c>
      <c r="J29" s="4">
        <f t="shared" si="6"/>
        <v>25</v>
      </c>
      <c r="K29" s="4">
        <f t="shared" si="6"/>
        <v>25</v>
      </c>
      <c r="L29" s="4">
        <f t="shared" si="6"/>
        <v>25</v>
      </c>
      <c r="M29" s="4">
        <f t="shared" si="6"/>
        <v>25</v>
      </c>
      <c r="N29" s="4">
        <f t="shared" si="6"/>
        <v>25</v>
      </c>
    </row>
    <row r="30" spans="1:14" ht="15.75" customHeight="1">
      <c r="A30" s="4" t="s">
        <v>100</v>
      </c>
      <c r="B30" s="4">
        <v>5</v>
      </c>
      <c r="C30" s="4">
        <f t="shared" ref="C30:N30" si="7">1800/6/12</f>
        <v>25</v>
      </c>
      <c r="D30" s="4">
        <f t="shared" si="7"/>
        <v>25</v>
      </c>
      <c r="E30" s="4">
        <f t="shared" si="7"/>
        <v>25</v>
      </c>
      <c r="F30" s="4">
        <f t="shared" si="7"/>
        <v>25</v>
      </c>
      <c r="G30" s="4">
        <f t="shared" si="7"/>
        <v>25</v>
      </c>
      <c r="H30" s="4">
        <f t="shared" si="7"/>
        <v>25</v>
      </c>
      <c r="I30" s="4">
        <f t="shared" si="7"/>
        <v>25</v>
      </c>
      <c r="J30" s="4">
        <f t="shared" si="7"/>
        <v>25</v>
      </c>
      <c r="K30" s="4">
        <f t="shared" si="7"/>
        <v>25</v>
      </c>
      <c r="L30" s="4">
        <f t="shared" si="7"/>
        <v>25</v>
      </c>
      <c r="M30" s="4">
        <f t="shared" si="7"/>
        <v>25</v>
      </c>
      <c r="N30" s="4">
        <f t="shared" si="7"/>
        <v>25</v>
      </c>
    </row>
    <row r="31" spans="1:14" ht="15.75" hidden="1" customHeight="1">
      <c r="A31" s="4" t="s">
        <v>100</v>
      </c>
      <c r="B31" s="4">
        <v>6</v>
      </c>
      <c r="C31" s="4">
        <f t="shared" ref="C31:N31" si="8">1800/6/12</f>
        <v>25</v>
      </c>
      <c r="D31" s="4">
        <f t="shared" si="8"/>
        <v>25</v>
      </c>
      <c r="E31" s="4">
        <f t="shared" si="8"/>
        <v>25</v>
      </c>
      <c r="F31" s="4">
        <f t="shared" si="8"/>
        <v>25</v>
      </c>
      <c r="G31" s="4">
        <f t="shared" si="8"/>
        <v>25</v>
      </c>
      <c r="H31" s="4">
        <f t="shared" si="8"/>
        <v>25</v>
      </c>
      <c r="I31" s="4">
        <f t="shared" si="8"/>
        <v>25</v>
      </c>
      <c r="J31" s="4">
        <f t="shared" si="8"/>
        <v>25</v>
      </c>
      <c r="K31" s="4">
        <f t="shared" si="8"/>
        <v>25</v>
      </c>
      <c r="L31" s="4">
        <f t="shared" si="8"/>
        <v>25</v>
      </c>
      <c r="M31" s="4">
        <f t="shared" si="8"/>
        <v>25</v>
      </c>
      <c r="N31" s="4">
        <f t="shared" si="8"/>
        <v>25</v>
      </c>
    </row>
    <row r="32" spans="1:14" ht="15.75" hidden="1" customHeight="1">
      <c r="A32" s="4" t="s">
        <v>100</v>
      </c>
      <c r="B32" s="4">
        <v>0</v>
      </c>
      <c r="C32" s="4">
        <f t="shared" ref="C32:N32" si="9">1800/6/12</f>
        <v>25</v>
      </c>
      <c r="D32" s="4">
        <f t="shared" si="9"/>
        <v>25</v>
      </c>
      <c r="E32" s="4">
        <f t="shared" si="9"/>
        <v>25</v>
      </c>
      <c r="F32" s="4">
        <f t="shared" si="9"/>
        <v>25</v>
      </c>
      <c r="G32" s="4">
        <f t="shared" si="9"/>
        <v>25</v>
      </c>
      <c r="H32" s="4">
        <f t="shared" si="9"/>
        <v>25</v>
      </c>
      <c r="I32" s="4">
        <f t="shared" si="9"/>
        <v>25</v>
      </c>
      <c r="J32" s="4">
        <f t="shared" si="9"/>
        <v>25</v>
      </c>
      <c r="K32" s="4">
        <f t="shared" si="9"/>
        <v>25</v>
      </c>
      <c r="L32" s="4">
        <f t="shared" si="9"/>
        <v>25</v>
      </c>
      <c r="M32" s="4">
        <f t="shared" si="9"/>
        <v>25</v>
      </c>
      <c r="N32" s="4">
        <f t="shared" si="9"/>
        <v>25</v>
      </c>
    </row>
    <row r="33" spans="1:14" ht="15.75" hidden="1" customHeight="1">
      <c r="A33" s="4" t="s">
        <v>100</v>
      </c>
      <c r="B33" s="4">
        <v>8</v>
      </c>
      <c r="C33" s="4">
        <f t="shared" ref="C33:N33" si="10">1800/6/12</f>
        <v>25</v>
      </c>
      <c r="D33" s="4">
        <f t="shared" si="10"/>
        <v>25</v>
      </c>
      <c r="E33" s="4">
        <f t="shared" si="10"/>
        <v>25</v>
      </c>
      <c r="F33" s="4">
        <f t="shared" si="10"/>
        <v>25</v>
      </c>
      <c r="G33" s="4">
        <f t="shared" si="10"/>
        <v>25</v>
      </c>
      <c r="H33" s="4">
        <f t="shared" si="10"/>
        <v>25</v>
      </c>
      <c r="I33" s="4">
        <f t="shared" si="10"/>
        <v>25</v>
      </c>
      <c r="J33" s="4">
        <f t="shared" si="10"/>
        <v>25</v>
      </c>
      <c r="K33" s="4">
        <f t="shared" si="10"/>
        <v>25</v>
      </c>
      <c r="L33" s="4">
        <f t="shared" si="10"/>
        <v>25</v>
      </c>
      <c r="M33" s="4">
        <f t="shared" si="10"/>
        <v>25</v>
      </c>
      <c r="N33" s="4">
        <f t="shared" si="10"/>
        <v>25</v>
      </c>
    </row>
    <row r="34" spans="1:14" ht="15.75" customHeight="1">
      <c r="A34" s="4" t="s">
        <v>101</v>
      </c>
      <c r="B34" s="4">
        <v>2</v>
      </c>
      <c r="C34" s="4">
        <v>35</v>
      </c>
      <c r="D34" s="4">
        <v>35</v>
      </c>
      <c r="E34" s="4">
        <v>35</v>
      </c>
      <c r="F34" s="4">
        <v>35</v>
      </c>
      <c r="G34" s="4">
        <v>35</v>
      </c>
      <c r="H34" s="4">
        <v>35</v>
      </c>
      <c r="I34" s="4">
        <v>35</v>
      </c>
      <c r="J34" s="4">
        <v>35</v>
      </c>
      <c r="K34" s="4">
        <v>35</v>
      </c>
      <c r="L34" s="4">
        <v>35</v>
      </c>
      <c r="M34" s="4">
        <v>35</v>
      </c>
      <c r="N34" s="4">
        <v>35</v>
      </c>
    </row>
    <row r="35" spans="1:14" ht="15.75" customHeight="1">
      <c r="A35" s="4" t="s">
        <v>101</v>
      </c>
      <c r="B35" s="4">
        <v>4</v>
      </c>
      <c r="C35" s="4">
        <v>35</v>
      </c>
      <c r="D35" s="4">
        <v>35</v>
      </c>
      <c r="E35" s="4">
        <v>35</v>
      </c>
      <c r="F35" s="4">
        <v>35</v>
      </c>
      <c r="G35" s="4">
        <v>35</v>
      </c>
      <c r="H35" s="4">
        <v>35</v>
      </c>
      <c r="I35" s="4">
        <v>35</v>
      </c>
      <c r="J35" s="4">
        <v>35</v>
      </c>
      <c r="K35" s="4">
        <v>35</v>
      </c>
      <c r="L35" s="4">
        <v>35</v>
      </c>
      <c r="M35" s="4">
        <v>35</v>
      </c>
      <c r="N35" s="4">
        <v>35</v>
      </c>
    </row>
    <row r="36" spans="1:14" ht="15.75" customHeight="1">
      <c r="A36" s="4" t="s">
        <v>101</v>
      </c>
      <c r="B36" s="4">
        <v>5</v>
      </c>
      <c r="C36" s="4">
        <v>35</v>
      </c>
      <c r="D36" s="4">
        <v>35</v>
      </c>
      <c r="E36" s="4">
        <v>35</v>
      </c>
      <c r="F36" s="4">
        <v>35</v>
      </c>
      <c r="G36" s="4">
        <v>35</v>
      </c>
      <c r="H36" s="4">
        <v>35</v>
      </c>
      <c r="I36" s="4">
        <v>35</v>
      </c>
      <c r="J36" s="4">
        <v>35</v>
      </c>
      <c r="K36" s="4">
        <v>35</v>
      </c>
      <c r="L36" s="4">
        <v>35</v>
      </c>
      <c r="M36" s="4">
        <v>35</v>
      </c>
      <c r="N36" s="4">
        <v>35</v>
      </c>
    </row>
    <row r="37" spans="1:14" ht="15.75" hidden="1" customHeight="1">
      <c r="A37" s="4" t="s">
        <v>101</v>
      </c>
      <c r="B37" s="4">
        <v>6</v>
      </c>
      <c r="C37" s="4">
        <v>35</v>
      </c>
      <c r="D37" s="4">
        <v>35</v>
      </c>
      <c r="E37" s="4">
        <v>35</v>
      </c>
      <c r="F37" s="4">
        <v>35</v>
      </c>
      <c r="G37" s="4">
        <v>35</v>
      </c>
      <c r="H37" s="4">
        <v>35</v>
      </c>
      <c r="I37" s="4">
        <v>35</v>
      </c>
      <c r="J37" s="4">
        <v>35</v>
      </c>
      <c r="K37" s="4">
        <v>35</v>
      </c>
      <c r="L37" s="4">
        <v>35</v>
      </c>
      <c r="M37" s="4">
        <v>35</v>
      </c>
      <c r="N37" s="4">
        <v>35</v>
      </c>
    </row>
    <row r="38" spans="1:14" ht="15.75" hidden="1" customHeight="1">
      <c r="A38" s="4" t="s">
        <v>101</v>
      </c>
      <c r="B38" s="4">
        <v>0</v>
      </c>
      <c r="C38" s="4">
        <v>50</v>
      </c>
      <c r="D38" s="4">
        <v>50</v>
      </c>
      <c r="E38" s="4">
        <v>50</v>
      </c>
      <c r="F38" s="4">
        <v>50</v>
      </c>
      <c r="G38" s="4">
        <v>50</v>
      </c>
      <c r="H38" s="4">
        <v>50</v>
      </c>
      <c r="I38" s="4">
        <v>50</v>
      </c>
      <c r="J38" s="4">
        <v>50</v>
      </c>
      <c r="K38" s="4">
        <v>50</v>
      </c>
      <c r="L38" s="4">
        <v>50</v>
      </c>
      <c r="M38" s="4">
        <v>50</v>
      </c>
      <c r="N38" s="4">
        <v>50</v>
      </c>
    </row>
    <row r="39" spans="1:14" ht="15.75" customHeight="1">
      <c r="A39" s="4" t="s">
        <v>102</v>
      </c>
      <c r="B39" s="4">
        <v>5</v>
      </c>
      <c r="C39" s="4">
        <v>35</v>
      </c>
      <c r="D39" s="4">
        <v>35</v>
      </c>
      <c r="E39" s="4">
        <v>35</v>
      </c>
      <c r="F39" s="4">
        <v>35</v>
      </c>
      <c r="G39" s="4">
        <v>35</v>
      </c>
      <c r="H39" s="4">
        <v>35</v>
      </c>
      <c r="I39" s="4">
        <v>35</v>
      </c>
      <c r="J39" s="4">
        <v>35</v>
      </c>
      <c r="K39" s="4">
        <v>35</v>
      </c>
      <c r="L39" s="4">
        <v>35</v>
      </c>
      <c r="M39" s="4">
        <v>35</v>
      </c>
      <c r="N39" s="4">
        <v>35</v>
      </c>
    </row>
    <row r="40" spans="1:14" ht="15.75" customHeight="1">
      <c r="A40" s="5" t="s">
        <v>103</v>
      </c>
      <c r="B40" s="5">
        <v>2</v>
      </c>
      <c r="C40" s="5">
        <v>16</v>
      </c>
      <c r="D40" s="5">
        <v>16</v>
      </c>
      <c r="E40" s="5">
        <v>16</v>
      </c>
      <c r="F40" s="5">
        <v>16</v>
      </c>
      <c r="G40" s="5">
        <v>16</v>
      </c>
      <c r="H40" s="5">
        <v>16</v>
      </c>
      <c r="I40" s="5">
        <v>16</v>
      </c>
      <c r="J40" s="5">
        <v>16</v>
      </c>
      <c r="K40" s="5">
        <v>16</v>
      </c>
      <c r="L40" s="5">
        <v>16</v>
      </c>
      <c r="M40" s="5">
        <v>16</v>
      </c>
      <c r="N40" s="5">
        <v>16</v>
      </c>
    </row>
    <row r="41" spans="1:14" ht="15.75" customHeight="1">
      <c r="A41" s="5" t="s">
        <v>103</v>
      </c>
      <c r="B41" s="5">
        <v>4</v>
      </c>
      <c r="C41" s="5">
        <v>16</v>
      </c>
      <c r="D41" s="5">
        <v>16</v>
      </c>
      <c r="E41" s="5">
        <v>16</v>
      </c>
      <c r="F41" s="5">
        <v>16</v>
      </c>
      <c r="G41" s="5">
        <v>16</v>
      </c>
      <c r="H41" s="5">
        <v>16</v>
      </c>
      <c r="I41" s="5">
        <v>16</v>
      </c>
      <c r="J41" s="5">
        <v>16</v>
      </c>
      <c r="K41" s="5">
        <v>16</v>
      </c>
      <c r="L41" s="5">
        <v>16</v>
      </c>
      <c r="M41" s="5">
        <v>16</v>
      </c>
      <c r="N41" s="5">
        <v>16</v>
      </c>
    </row>
    <row r="42" spans="1:14" ht="15.75" customHeight="1">
      <c r="A42" s="5" t="s">
        <v>103</v>
      </c>
      <c r="B42" s="5">
        <v>5</v>
      </c>
      <c r="C42" s="5">
        <v>16</v>
      </c>
      <c r="D42" s="5">
        <v>16</v>
      </c>
      <c r="E42" s="5">
        <v>16</v>
      </c>
      <c r="F42" s="5">
        <v>16</v>
      </c>
      <c r="G42" s="5">
        <v>16</v>
      </c>
      <c r="H42" s="5">
        <v>16</v>
      </c>
      <c r="I42" s="5">
        <v>16</v>
      </c>
      <c r="J42" s="5">
        <v>16</v>
      </c>
      <c r="K42" s="5">
        <v>16</v>
      </c>
      <c r="L42" s="5">
        <v>16</v>
      </c>
      <c r="M42" s="5">
        <v>16</v>
      </c>
      <c r="N42" s="5">
        <v>16</v>
      </c>
    </row>
    <row r="43" spans="1:14" ht="15.75" customHeight="1">
      <c r="A43" s="5" t="s">
        <v>103</v>
      </c>
      <c r="B43" s="5">
        <v>7</v>
      </c>
      <c r="C43" s="5">
        <v>16</v>
      </c>
      <c r="D43" s="5">
        <v>16</v>
      </c>
      <c r="E43" s="5">
        <v>16</v>
      </c>
      <c r="F43" s="5">
        <v>16</v>
      </c>
      <c r="G43" s="5">
        <v>16</v>
      </c>
      <c r="H43" s="5">
        <v>16</v>
      </c>
      <c r="I43" s="5">
        <v>16</v>
      </c>
      <c r="J43" s="5">
        <v>16</v>
      </c>
      <c r="K43" s="5">
        <v>16</v>
      </c>
      <c r="L43" s="5">
        <v>16</v>
      </c>
      <c r="M43" s="5">
        <v>16</v>
      </c>
      <c r="N43" s="5">
        <v>16</v>
      </c>
    </row>
    <row r="44" spans="1:14" ht="15.75" hidden="1" customHeight="1">
      <c r="A44" s="5" t="s">
        <v>103</v>
      </c>
      <c r="B44" s="5">
        <v>0</v>
      </c>
      <c r="C44" s="5">
        <v>16</v>
      </c>
      <c r="D44" s="5">
        <v>16</v>
      </c>
      <c r="E44" s="5">
        <v>16</v>
      </c>
      <c r="F44" s="5">
        <v>16</v>
      </c>
      <c r="G44" s="5">
        <v>16</v>
      </c>
      <c r="H44" s="5">
        <v>16</v>
      </c>
      <c r="I44" s="5">
        <v>16</v>
      </c>
      <c r="J44" s="5">
        <v>16</v>
      </c>
      <c r="K44" s="5">
        <v>16</v>
      </c>
      <c r="L44" s="5">
        <v>16</v>
      </c>
      <c r="M44" s="5">
        <v>16</v>
      </c>
      <c r="N44" s="5">
        <v>16</v>
      </c>
    </row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A1:Z44" xr:uid="{00000000-0009-0000-0000-000002000000}">
    <filterColumn colId="1">
      <filters>
        <filter val="2"/>
        <filter val="4"/>
        <filter val="5"/>
        <filter val="7"/>
      </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1"/>
  <sheetViews>
    <sheetView workbookViewId="0"/>
  </sheetViews>
  <sheetFormatPr baseColWidth="10" defaultColWidth="11.1640625" defaultRowHeight="15" customHeight="1"/>
  <sheetData>
    <row r="1" spans="1:7">
      <c r="A1" s="7" t="s">
        <v>104</v>
      </c>
      <c r="B1" s="8" t="s">
        <v>105</v>
      </c>
      <c r="C1" s="8" t="s">
        <v>106</v>
      </c>
      <c r="D1" s="8" t="s">
        <v>107</v>
      </c>
      <c r="E1" s="9" t="s">
        <v>108</v>
      </c>
      <c r="F1" s="10" t="s">
        <v>109</v>
      </c>
      <c r="G1" s="9" t="s">
        <v>110</v>
      </c>
    </row>
    <row r="2" spans="1:7">
      <c r="A2" s="11">
        <v>50</v>
      </c>
      <c r="B2" s="11">
        <v>5</v>
      </c>
      <c r="C2" s="12">
        <v>46113</v>
      </c>
      <c r="D2" s="12">
        <v>46203</v>
      </c>
      <c r="E2" s="13">
        <v>68</v>
      </c>
      <c r="F2" s="13">
        <v>65</v>
      </c>
      <c r="G2" s="13">
        <v>1</v>
      </c>
    </row>
    <row r="3" spans="1:7">
      <c r="A3" s="5">
        <v>51</v>
      </c>
      <c r="B3" s="11">
        <v>5</v>
      </c>
      <c r="C3" s="12">
        <v>46204</v>
      </c>
      <c r="D3" s="12">
        <v>46265</v>
      </c>
      <c r="E3" s="5">
        <v>130</v>
      </c>
      <c r="F3" s="13">
        <v>85</v>
      </c>
      <c r="G3" s="5">
        <v>2</v>
      </c>
    </row>
    <row r="4" spans="1:7">
      <c r="A4" s="11">
        <v>40</v>
      </c>
      <c r="B4" s="11">
        <v>4</v>
      </c>
      <c r="C4" s="12">
        <v>46113</v>
      </c>
      <c r="D4" s="12">
        <v>46203</v>
      </c>
      <c r="E4" s="13">
        <v>85</v>
      </c>
      <c r="F4" s="13">
        <v>105</v>
      </c>
      <c r="G4" s="13">
        <v>2</v>
      </c>
    </row>
    <row r="5" spans="1:7">
      <c r="A5" s="5">
        <v>41</v>
      </c>
      <c r="B5" s="11">
        <v>4</v>
      </c>
      <c r="C5" s="12">
        <v>46204</v>
      </c>
      <c r="D5" s="12">
        <v>46265</v>
      </c>
      <c r="E5" s="5">
        <v>130</v>
      </c>
      <c r="F5" s="13">
        <v>105</v>
      </c>
      <c r="G5" s="5">
        <v>5</v>
      </c>
    </row>
    <row r="6" spans="1:7">
      <c r="A6" s="11">
        <v>20</v>
      </c>
      <c r="B6" s="11">
        <v>2</v>
      </c>
      <c r="C6" s="12">
        <v>46113</v>
      </c>
      <c r="D6" s="12">
        <v>46203</v>
      </c>
      <c r="E6" s="13">
        <v>130</v>
      </c>
      <c r="F6" s="13">
        <v>105</v>
      </c>
      <c r="G6" s="13">
        <v>2</v>
      </c>
    </row>
    <row r="7" spans="1:7">
      <c r="A7" s="5">
        <v>21</v>
      </c>
      <c r="B7" s="11">
        <v>2</v>
      </c>
      <c r="C7" s="12">
        <v>46204</v>
      </c>
      <c r="D7" s="12">
        <v>46265</v>
      </c>
      <c r="E7" s="5">
        <v>140</v>
      </c>
      <c r="F7" s="13">
        <v>105</v>
      </c>
      <c r="G7" s="5">
        <v>5</v>
      </c>
    </row>
    <row r="8" spans="1:7">
      <c r="A8" s="5">
        <v>0</v>
      </c>
      <c r="B8" s="5">
        <v>0</v>
      </c>
      <c r="C8" s="12">
        <v>46113</v>
      </c>
      <c r="D8" s="12">
        <v>46203</v>
      </c>
      <c r="E8" s="5">
        <v>190</v>
      </c>
      <c r="F8" s="5">
        <v>120</v>
      </c>
      <c r="G8" s="5">
        <v>1</v>
      </c>
    </row>
    <row r="9" spans="1:7">
      <c r="A9" s="5">
        <v>1</v>
      </c>
      <c r="B9" s="5">
        <v>0</v>
      </c>
      <c r="C9" s="12">
        <v>46204</v>
      </c>
      <c r="D9" s="12">
        <v>46234</v>
      </c>
      <c r="E9" s="5">
        <v>230</v>
      </c>
      <c r="F9" s="5">
        <v>120</v>
      </c>
      <c r="G9" s="5">
        <v>3</v>
      </c>
    </row>
    <row r="10" spans="1:7">
      <c r="A10" s="5">
        <v>2</v>
      </c>
      <c r="B10" s="5">
        <v>0</v>
      </c>
      <c r="C10" s="12">
        <v>46235</v>
      </c>
      <c r="D10" s="12">
        <v>46265</v>
      </c>
      <c r="E10" s="5">
        <v>260</v>
      </c>
      <c r="F10" s="5">
        <v>120</v>
      </c>
      <c r="G10" s="5">
        <v>3</v>
      </c>
    </row>
    <row r="11" spans="1:7">
      <c r="A11" s="5">
        <v>3</v>
      </c>
      <c r="B11" s="5">
        <v>0</v>
      </c>
      <c r="C11" s="12">
        <v>46266</v>
      </c>
      <c r="D11" s="12">
        <v>46741</v>
      </c>
      <c r="E11" s="5">
        <v>190</v>
      </c>
      <c r="F11" s="5">
        <v>120</v>
      </c>
      <c r="G11" s="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7"/>
  <sheetViews>
    <sheetView workbookViewId="0"/>
  </sheetViews>
  <sheetFormatPr baseColWidth="10" defaultColWidth="11.1640625" defaultRowHeight="15" customHeight="1"/>
  <sheetData>
    <row r="1" spans="1:22">
      <c r="A1" s="8" t="s">
        <v>111</v>
      </c>
      <c r="B1" s="8" t="s">
        <v>112</v>
      </c>
      <c r="C1" s="8" t="s">
        <v>105</v>
      </c>
      <c r="D1" s="8" t="s">
        <v>113</v>
      </c>
      <c r="E1" s="8" t="s">
        <v>114</v>
      </c>
      <c r="F1" s="10" t="s">
        <v>115</v>
      </c>
      <c r="G1" s="9" t="s">
        <v>116</v>
      </c>
      <c r="H1" s="7" t="s">
        <v>117</v>
      </c>
      <c r="I1" s="7" t="s">
        <v>118</v>
      </c>
      <c r="J1" s="7" t="s">
        <v>109</v>
      </c>
      <c r="K1" s="7" t="s">
        <v>119</v>
      </c>
      <c r="L1" s="7" t="s">
        <v>120</v>
      </c>
      <c r="M1" s="8" t="s">
        <v>121</v>
      </c>
      <c r="N1" s="8" t="s">
        <v>122</v>
      </c>
      <c r="O1" s="7" t="s">
        <v>123</v>
      </c>
      <c r="P1" s="8" t="s">
        <v>124</v>
      </c>
      <c r="Q1" s="7" t="s">
        <v>125</v>
      </c>
      <c r="R1" s="14" t="s">
        <v>126</v>
      </c>
      <c r="S1" s="14" t="s">
        <v>127</v>
      </c>
      <c r="T1" s="14" t="s">
        <v>128</v>
      </c>
      <c r="U1" s="14" t="s">
        <v>129</v>
      </c>
      <c r="V1" s="14" t="s">
        <v>130</v>
      </c>
    </row>
    <row r="2" spans="1:22">
      <c r="A2" s="4" t="s">
        <v>131</v>
      </c>
      <c r="B2" s="4" t="s">
        <v>132</v>
      </c>
      <c r="C2" s="4">
        <v>2</v>
      </c>
      <c r="D2" s="15">
        <v>46215</v>
      </c>
      <c r="E2" s="15">
        <v>46222</v>
      </c>
      <c r="F2" s="4">
        <v>7</v>
      </c>
      <c r="G2" s="15">
        <v>4</v>
      </c>
      <c r="H2" s="4" t="s">
        <v>133</v>
      </c>
      <c r="I2" s="4">
        <v>1050</v>
      </c>
      <c r="J2" s="4">
        <v>85</v>
      </c>
      <c r="K2" s="4">
        <v>141.4</v>
      </c>
      <c r="L2" s="4">
        <v>1276.4000000000001</v>
      </c>
      <c r="M2" s="4" t="s">
        <v>134</v>
      </c>
      <c r="N2" s="4" t="s">
        <v>135</v>
      </c>
      <c r="O2" s="4">
        <v>600000000</v>
      </c>
      <c r="P2" s="4" t="s">
        <v>136</v>
      </c>
      <c r="Q2" s="4" t="b">
        <v>1</v>
      </c>
      <c r="R2" s="4" t="s">
        <v>137</v>
      </c>
      <c r="S2" s="4" t="s">
        <v>138</v>
      </c>
      <c r="T2" s="4" t="s">
        <v>139</v>
      </c>
      <c r="U2" s="4" t="s">
        <v>140</v>
      </c>
      <c r="V2" s="4" t="s">
        <v>141</v>
      </c>
    </row>
    <row r="3" spans="1:22">
      <c r="A3" s="4" t="s">
        <v>142</v>
      </c>
      <c r="B3" s="4" t="s">
        <v>132</v>
      </c>
      <c r="C3" s="4">
        <v>5</v>
      </c>
      <c r="D3" s="15">
        <v>46169</v>
      </c>
      <c r="E3" s="15">
        <v>46171</v>
      </c>
      <c r="F3" s="4">
        <v>2</v>
      </c>
      <c r="G3" s="4">
        <v>2</v>
      </c>
      <c r="H3" s="4" t="s">
        <v>133</v>
      </c>
      <c r="I3" s="4">
        <v>300</v>
      </c>
      <c r="J3" s="4">
        <v>85</v>
      </c>
      <c r="K3" s="4">
        <v>15</v>
      </c>
      <c r="L3" s="4">
        <v>400</v>
      </c>
      <c r="M3" s="4" t="s">
        <v>143</v>
      </c>
      <c r="N3" s="4" t="s">
        <v>144</v>
      </c>
      <c r="O3" s="4">
        <v>6786786</v>
      </c>
      <c r="P3" s="4" t="s">
        <v>145</v>
      </c>
      <c r="Q3" s="4" t="b">
        <v>1</v>
      </c>
      <c r="R3" s="4" t="s">
        <v>137</v>
      </c>
      <c r="S3" s="4" t="s">
        <v>138</v>
      </c>
      <c r="T3" s="4" t="s">
        <v>139</v>
      </c>
      <c r="U3" s="16" t="s">
        <v>146</v>
      </c>
      <c r="V3" s="4" t="s">
        <v>147</v>
      </c>
    </row>
    <row r="4" spans="1:22">
      <c r="A4" s="4" t="s">
        <v>148</v>
      </c>
      <c r="B4" s="4" t="s">
        <v>132</v>
      </c>
      <c r="C4" s="4">
        <v>5</v>
      </c>
      <c r="D4" s="15">
        <v>46176</v>
      </c>
      <c r="E4" s="15">
        <v>46184</v>
      </c>
      <c r="F4" s="4">
        <v>8</v>
      </c>
      <c r="G4" s="4">
        <v>2</v>
      </c>
      <c r="H4" s="4" t="s">
        <v>133</v>
      </c>
      <c r="I4" s="4">
        <v>1200</v>
      </c>
      <c r="J4" s="4">
        <v>85</v>
      </c>
      <c r="K4" s="4">
        <v>60</v>
      </c>
      <c r="L4" s="4">
        <v>1345</v>
      </c>
      <c r="M4" s="4" t="s">
        <v>149</v>
      </c>
      <c r="N4" s="4" t="s">
        <v>144</v>
      </c>
      <c r="O4" s="4">
        <v>798798</v>
      </c>
      <c r="P4" s="4" t="s">
        <v>150</v>
      </c>
      <c r="Q4" s="4" t="b">
        <v>1</v>
      </c>
      <c r="R4" s="4" t="s">
        <v>137</v>
      </c>
      <c r="S4" s="4" t="s">
        <v>138</v>
      </c>
      <c r="T4" s="4" t="s">
        <v>139</v>
      </c>
      <c r="U4" s="16" t="s">
        <v>146</v>
      </c>
      <c r="V4" s="4" t="s">
        <v>147</v>
      </c>
    </row>
    <row r="5" spans="1:22">
      <c r="A5" s="4" t="s">
        <v>151</v>
      </c>
      <c r="B5" s="4" t="s">
        <v>132</v>
      </c>
      <c r="C5" s="4">
        <v>5</v>
      </c>
      <c r="D5" s="15">
        <v>46169</v>
      </c>
      <c r="E5" s="15">
        <v>46172</v>
      </c>
      <c r="F5" s="4">
        <v>3</v>
      </c>
      <c r="G5" s="4">
        <v>2</v>
      </c>
      <c r="H5" s="4" t="s">
        <v>133</v>
      </c>
      <c r="I5" s="4">
        <v>450</v>
      </c>
      <c r="J5" s="4">
        <v>85</v>
      </c>
      <c r="K5" s="4">
        <v>22.5</v>
      </c>
      <c r="L5" s="4">
        <v>557.5</v>
      </c>
      <c r="M5" s="4" t="s">
        <v>152</v>
      </c>
      <c r="N5" s="4" t="s">
        <v>153</v>
      </c>
      <c r="O5" s="4">
        <v>7897689</v>
      </c>
      <c r="P5" s="4" t="s">
        <v>154</v>
      </c>
      <c r="Q5" s="4" t="b">
        <v>1</v>
      </c>
      <c r="R5" s="4" t="s">
        <v>137</v>
      </c>
      <c r="S5" s="4" t="s">
        <v>138</v>
      </c>
      <c r="T5" s="4" t="s">
        <v>139</v>
      </c>
      <c r="U5" s="16" t="s">
        <v>155</v>
      </c>
      <c r="V5" s="4" t="s">
        <v>147</v>
      </c>
    </row>
    <row r="6" spans="1:22">
      <c r="A6" s="4" t="s">
        <v>156</v>
      </c>
      <c r="B6" s="4" t="s">
        <v>132</v>
      </c>
      <c r="C6" s="4">
        <v>0</v>
      </c>
      <c r="D6" s="15">
        <v>46188</v>
      </c>
      <c r="E6" s="15">
        <v>46191</v>
      </c>
      <c r="F6" s="4">
        <v>3</v>
      </c>
      <c r="G6" s="4">
        <v>4</v>
      </c>
      <c r="H6" s="4" t="s">
        <v>133</v>
      </c>
      <c r="I6" s="4">
        <v>570</v>
      </c>
      <c r="J6" s="4">
        <v>120</v>
      </c>
      <c r="K6" s="4">
        <v>28.5</v>
      </c>
      <c r="L6" s="4">
        <v>718.5</v>
      </c>
      <c r="M6" s="4" t="s">
        <v>157</v>
      </c>
      <c r="N6" s="4" t="s">
        <v>153</v>
      </c>
      <c r="O6" s="4">
        <v>687687</v>
      </c>
      <c r="P6" s="4" t="s">
        <v>158</v>
      </c>
      <c r="Q6" s="4" t="b">
        <v>1</v>
      </c>
      <c r="R6" s="4" t="s">
        <v>137</v>
      </c>
      <c r="S6" s="4" t="s">
        <v>138</v>
      </c>
      <c r="T6" s="4" t="s">
        <v>139</v>
      </c>
      <c r="U6" s="16" t="s">
        <v>159</v>
      </c>
      <c r="V6" s="4" t="s">
        <v>160</v>
      </c>
    </row>
    <row r="7" spans="1:22">
      <c r="A7" s="4" t="s">
        <v>161</v>
      </c>
      <c r="B7" s="4" t="s">
        <v>132</v>
      </c>
      <c r="C7" s="4">
        <v>4</v>
      </c>
      <c r="D7" s="15">
        <v>46169</v>
      </c>
      <c r="E7" s="15">
        <v>46172</v>
      </c>
      <c r="F7" s="4">
        <v>3</v>
      </c>
      <c r="G7" s="4">
        <v>2</v>
      </c>
      <c r="H7" s="4" t="s">
        <v>133</v>
      </c>
      <c r="I7" s="4">
        <v>255</v>
      </c>
      <c r="J7" s="4">
        <v>105</v>
      </c>
      <c r="K7" s="4">
        <v>12.75</v>
      </c>
      <c r="L7" s="4">
        <v>372.75</v>
      </c>
      <c r="M7" s="4" t="s">
        <v>162</v>
      </c>
      <c r="N7" s="4" t="s">
        <v>144</v>
      </c>
      <c r="O7" s="4">
        <v>787889</v>
      </c>
      <c r="P7" s="4" t="s">
        <v>163</v>
      </c>
      <c r="Q7" s="4" t="b">
        <v>1</v>
      </c>
      <c r="R7" s="4" t="s">
        <v>137</v>
      </c>
      <c r="S7" s="4" t="s">
        <v>138</v>
      </c>
      <c r="T7" s="4" t="s">
        <v>139</v>
      </c>
      <c r="U7" s="16" t="s">
        <v>164</v>
      </c>
      <c r="V7" s="4" t="s">
        <v>147</v>
      </c>
    </row>
  </sheetData>
  <hyperlinks>
    <hyperlink ref="U3" r:id="rId1" xr:uid="{00000000-0004-0000-0400-000000000000}"/>
    <hyperlink ref="U4" r:id="rId2" xr:uid="{00000000-0004-0000-0400-000001000000}"/>
    <hyperlink ref="U5" r:id="rId3" xr:uid="{00000000-0004-0000-0400-000002000000}"/>
    <hyperlink ref="U6" r:id="rId4" xr:uid="{00000000-0004-0000-0400-000003000000}"/>
    <hyperlink ref="U7" r:id="rId5" xr:uid="{00000000-0004-0000-0400-00000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1"/>
  <sheetViews>
    <sheetView workbookViewId="0"/>
  </sheetViews>
  <sheetFormatPr baseColWidth="10" defaultColWidth="11.1640625" defaultRowHeight="15" customHeight="1"/>
  <cols>
    <col min="1" max="1" width="34" customWidth="1"/>
  </cols>
  <sheetData>
    <row r="1" spans="1:2">
      <c r="A1" s="8" t="s">
        <v>165</v>
      </c>
      <c r="B1" s="8" t="s">
        <v>166</v>
      </c>
    </row>
    <row r="2" spans="1:2">
      <c r="A2" s="17" t="s">
        <v>167</v>
      </c>
      <c r="B2" s="17" t="s">
        <v>133</v>
      </c>
    </row>
    <row r="3" spans="1:2">
      <c r="A3" s="17" t="s">
        <v>168</v>
      </c>
      <c r="B3" s="17" t="s">
        <v>169</v>
      </c>
    </row>
    <row r="4" spans="1:2">
      <c r="A4" s="17" t="s">
        <v>170</v>
      </c>
      <c r="B4" s="17">
        <v>2</v>
      </c>
    </row>
    <row r="5" spans="1:2">
      <c r="A5" s="17" t="s">
        <v>171</v>
      </c>
      <c r="B5" s="18" t="s">
        <v>144</v>
      </c>
    </row>
    <row r="6" spans="1:2">
      <c r="A6" s="17" t="s">
        <v>172</v>
      </c>
      <c r="B6" s="17" t="s">
        <v>173</v>
      </c>
    </row>
    <row r="7" spans="1:2">
      <c r="A7" s="17" t="s">
        <v>174</v>
      </c>
      <c r="B7" s="17">
        <v>24</v>
      </c>
    </row>
    <row r="8" spans="1:2">
      <c r="A8" s="17" t="s">
        <v>175</v>
      </c>
      <c r="B8" s="17" t="b">
        <v>1</v>
      </c>
    </row>
    <row r="9" spans="1:2">
      <c r="A9" s="17" t="s">
        <v>176</v>
      </c>
      <c r="B9" s="17" t="b">
        <v>0</v>
      </c>
    </row>
    <row r="10" spans="1:2">
      <c r="A10" s="17" t="s">
        <v>177</v>
      </c>
      <c r="B10" s="17">
        <v>6</v>
      </c>
    </row>
    <row r="11" spans="1:2">
      <c r="A11" s="17" t="s">
        <v>178</v>
      </c>
      <c r="B11" s="17" t="s">
        <v>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7" ht="15.75" customHeight="1">
      <c r="A1" s="1" t="s">
        <v>180</v>
      </c>
      <c r="B1" s="1" t="s">
        <v>181</v>
      </c>
      <c r="C1" s="1">
        <v>0</v>
      </c>
      <c r="D1" s="1">
        <v>2</v>
      </c>
      <c r="E1" s="1">
        <v>4</v>
      </c>
      <c r="F1" s="1">
        <v>5</v>
      </c>
    </row>
    <row r="2" spans="1:7" ht="15.75" customHeight="1">
      <c r="A2" s="1">
        <v>1</v>
      </c>
      <c r="B2" s="1">
        <v>2026</v>
      </c>
      <c r="C2" s="4">
        <f t="shared" ref="C2:C4" si="0">130*0.1*30</f>
        <v>390</v>
      </c>
      <c r="D2" s="4">
        <f t="shared" ref="D2:D4" si="1">0.5*30*40</f>
        <v>600</v>
      </c>
      <c r="E2" s="4">
        <f t="shared" ref="E2:E4" si="2">0.5*30*35</f>
        <v>525</v>
      </c>
      <c r="F2" s="4">
        <f t="shared" ref="F2:F4" si="3">0.5*30*30</f>
        <v>450</v>
      </c>
    </row>
    <row r="3" spans="1:7" ht="15.75" customHeight="1">
      <c r="A3" s="1">
        <v>2</v>
      </c>
      <c r="B3" s="1">
        <v>2026</v>
      </c>
      <c r="C3" s="4">
        <f t="shared" si="0"/>
        <v>390</v>
      </c>
      <c r="D3" s="4">
        <f t="shared" si="1"/>
        <v>600</v>
      </c>
      <c r="E3" s="4">
        <f t="shared" si="2"/>
        <v>525</v>
      </c>
      <c r="F3" s="4">
        <f t="shared" si="3"/>
        <v>450</v>
      </c>
    </row>
    <row r="4" spans="1:7" ht="15.75" customHeight="1">
      <c r="A4" s="1">
        <v>3</v>
      </c>
      <c r="B4" s="1">
        <v>2026</v>
      </c>
      <c r="C4" s="4">
        <f t="shared" si="0"/>
        <v>390</v>
      </c>
      <c r="D4" s="4">
        <f t="shared" si="1"/>
        <v>600</v>
      </c>
      <c r="E4" s="4">
        <f t="shared" si="2"/>
        <v>525</v>
      </c>
      <c r="F4" s="4">
        <f t="shared" si="3"/>
        <v>450</v>
      </c>
    </row>
    <row r="5" spans="1:7" ht="15.75" customHeight="1">
      <c r="A5" s="1">
        <v>4</v>
      </c>
      <c r="B5" s="1">
        <v>2026</v>
      </c>
      <c r="C5" s="4">
        <f>150*0.6*30</f>
        <v>2700</v>
      </c>
      <c r="D5" s="4">
        <f t="shared" ref="D5:D7" si="4">0.5*30*90</f>
        <v>1350</v>
      </c>
      <c r="E5" s="4">
        <f t="shared" ref="E5:E7" si="5">0.5*30*80</f>
        <v>1200</v>
      </c>
      <c r="F5" s="4">
        <f t="shared" ref="F5:F7" si="6">0.5*30*60</f>
        <v>900</v>
      </c>
    </row>
    <row r="6" spans="1:7" ht="15.75" customHeight="1">
      <c r="A6" s="1">
        <v>5</v>
      </c>
      <c r="B6" s="1">
        <v>2026</v>
      </c>
      <c r="C6" s="4">
        <f>160*0.6*30</f>
        <v>2880</v>
      </c>
      <c r="D6" s="4">
        <f t="shared" si="4"/>
        <v>1350</v>
      </c>
      <c r="E6" s="4">
        <f t="shared" si="5"/>
        <v>1200</v>
      </c>
      <c r="F6" s="4">
        <f t="shared" si="6"/>
        <v>900</v>
      </c>
    </row>
    <row r="7" spans="1:7" ht="15.75" customHeight="1">
      <c r="A7" s="1">
        <v>6</v>
      </c>
      <c r="B7" s="1">
        <v>2026</v>
      </c>
      <c r="C7" s="4">
        <f>150*30</f>
        <v>4500</v>
      </c>
      <c r="D7" s="4">
        <f t="shared" si="4"/>
        <v>1350</v>
      </c>
      <c r="E7" s="4">
        <f t="shared" si="5"/>
        <v>1200</v>
      </c>
      <c r="F7" s="4">
        <f t="shared" si="6"/>
        <v>900</v>
      </c>
    </row>
    <row r="8" spans="1:7" ht="15.75" customHeight="1">
      <c r="A8" s="1">
        <v>7</v>
      </c>
      <c r="B8" s="1">
        <v>2026</v>
      </c>
      <c r="C8" s="4">
        <f t="shared" ref="C8:C9" si="7">220*30</f>
        <v>6600</v>
      </c>
      <c r="D8" s="4">
        <f t="shared" ref="D8:D9" si="8">115*31</f>
        <v>3565</v>
      </c>
      <c r="E8" s="4">
        <f t="shared" ref="E8:E9" si="9">105*30</f>
        <v>3150</v>
      </c>
      <c r="F8" s="4">
        <f t="shared" ref="F8:F9" si="10">85*30</f>
        <v>2550</v>
      </c>
    </row>
    <row r="9" spans="1:7" ht="15.75" customHeight="1">
      <c r="A9" s="1">
        <v>8</v>
      </c>
      <c r="B9" s="1">
        <v>2026</v>
      </c>
      <c r="C9" s="4">
        <f t="shared" si="7"/>
        <v>6600</v>
      </c>
      <c r="D9" s="4">
        <f t="shared" si="8"/>
        <v>3565</v>
      </c>
      <c r="E9" s="4">
        <f t="shared" si="9"/>
        <v>3150</v>
      </c>
      <c r="F9" s="4">
        <f t="shared" si="10"/>
        <v>2550</v>
      </c>
    </row>
    <row r="10" spans="1:7" ht="15.75" customHeight="1">
      <c r="A10" s="1">
        <v>9</v>
      </c>
      <c r="B10" s="1">
        <v>2026</v>
      </c>
      <c r="C10" s="4">
        <f>190*0.5*30</f>
        <v>2850</v>
      </c>
      <c r="D10" s="4">
        <f>95*0.8*30</f>
        <v>2280</v>
      </c>
      <c r="E10" s="4">
        <f>85*0.8*30</f>
        <v>2040</v>
      </c>
      <c r="F10" s="4">
        <f>65*0.8*30</f>
        <v>1560</v>
      </c>
    </row>
    <row r="11" spans="1:7" ht="15.75" customHeight="1">
      <c r="A11" s="1">
        <v>10</v>
      </c>
      <c r="B11" s="1">
        <v>2026</v>
      </c>
      <c r="C11" s="4">
        <f t="shared" ref="C11:C12" si="11">150+0.1*30</f>
        <v>153</v>
      </c>
      <c r="D11" s="4">
        <f t="shared" ref="D11:D12" si="12">0.6*30*40</f>
        <v>720</v>
      </c>
      <c r="E11" s="4">
        <f t="shared" ref="E11:E12" si="13">0.6*30*35</f>
        <v>630</v>
      </c>
      <c r="F11" s="4">
        <f t="shared" ref="F11:F12" si="14">0.6*30*30</f>
        <v>540</v>
      </c>
    </row>
    <row r="12" spans="1:7" ht="15.75" customHeight="1">
      <c r="A12" s="1">
        <v>11</v>
      </c>
      <c r="B12" s="1">
        <v>2026</v>
      </c>
      <c r="C12" s="4">
        <f t="shared" si="11"/>
        <v>153</v>
      </c>
      <c r="D12" s="4">
        <f t="shared" si="12"/>
        <v>720</v>
      </c>
      <c r="E12" s="4">
        <f t="shared" si="13"/>
        <v>630</v>
      </c>
      <c r="F12" s="4">
        <f t="shared" si="14"/>
        <v>540</v>
      </c>
    </row>
    <row r="13" spans="1:7" ht="15.75" customHeight="1">
      <c r="A13" s="1">
        <v>12</v>
      </c>
      <c r="B13" s="1">
        <v>2026</v>
      </c>
      <c r="C13" s="4">
        <f>0.1*220*30</f>
        <v>660</v>
      </c>
      <c r="D13" s="4">
        <f>0.5*30*40</f>
        <v>600</v>
      </c>
      <c r="E13" s="4">
        <f>0.5*30*35</f>
        <v>525</v>
      </c>
      <c r="F13" s="4">
        <f>0.5*30*30</f>
        <v>450</v>
      </c>
    </row>
    <row r="14" spans="1:7" ht="15.75" customHeight="1"/>
    <row r="15" spans="1:7" ht="15.75" customHeight="1">
      <c r="A15" s="1" t="s">
        <v>182</v>
      </c>
      <c r="B15" s="1"/>
      <c r="C15" s="1">
        <f t="shared" ref="C15:F15" si="15">SUM(C2:C13)</f>
        <v>28266</v>
      </c>
      <c r="D15" s="1">
        <f t="shared" si="15"/>
        <v>17300</v>
      </c>
      <c r="E15" s="1">
        <f t="shared" si="15"/>
        <v>15300</v>
      </c>
      <c r="F15" s="1">
        <f t="shared" si="15"/>
        <v>12240</v>
      </c>
      <c r="G15" s="1"/>
    </row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2" ht="15.75" customHeight="1">
      <c r="A1" s="4" t="s">
        <v>183</v>
      </c>
    </row>
    <row r="2" spans="1:2" ht="15.75" customHeight="1"/>
    <row r="3" spans="1:2" ht="15.75" customHeight="1">
      <c r="A3" s="4">
        <v>0</v>
      </c>
      <c r="B3" s="19" t="s">
        <v>184</v>
      </c>
    </row>
    <row r="4" spans="1:2" ht="15.75" customHeight="1">
      <c r="A4" s="4">
        <v>4</v>
      </c>
      <c r="B4" s="19" t="s">
        <v>185</v>
      </c>
    </row>
    <row r="5" spans="1:2" ht="15.75" customHeight="1">
      <c r="A5" s="4">
        <v>2</v>
      </c>
      <c r="B5" s="19" t="s">
        <v>186</v>
      </c>
    </row>
    <row r="6" spans="1:2" ht="15.75" customHeight="1">
      <c r="A6" s="4">
        <v>5</v>
      </c>
      <c r="B6" s="19" t="s">
        <v>187</v>
      </c>
    </row>
    <row r="7" spans="1:2" ht="15.75" customHeight="1">
      <c r="A7" s="4">
        <v>6</v>
      </c>
      <c r="B7" s="19" t="s">
        <v>188</v>
      </c>
    </row>
    <row r="8" spans="1:2" ht="15.75" customHeight="1">
      <c r="A8" s="4">
        <v>7</v>
      </c>
      <c r="B8" s="19" t="s">
        <v>189</v>
      </c>
    </row>
    <row r="9" spans="1:2" ht="15.75" customHeight="1">
      <c r="A9" s="4">
        <v>8</v>
      </c>
      <c r="B9" s="19" t="s">
        <v>190</v>
      </c>
    </row>
    <row r="10" spans="1:2" ht="15.75" customHeight="1"/>
    <row r="11" spans="1:2" ht="15.75" customHeight="1">
      <c r="A11" s="4" t="s">
        <v>191</v>
      </c>
      <c r="B11" s="4" t="s">
        <v>18</v>
      </c>
    </row>
    <row r="12" spans="1:2" ht="15.75" customHeight="1">
      <c r="B12" s="4" t="s">
        <v>40</v>
      </c>
    </row>
    <row r="13" spans="1:2" ht="15.75" customHeight="1">
      <c r="B13" s="4" t="s">
        <v>192</v>
      </c>
    </row>
    <row r="14" spans="1:2" ht="15.75" customHeight="1">
      <c r="B14" s="4" t="s">
        <v>56</v>
      </c>
    </row>
    <row r="15" spans="1:2" ht="15.75" customHeight="1">
      <c r="B15" s="4" t="s">
        <v>15</v>
      </c>
    </row>
    <row r="16" spans="1:2" ht="15.75" customHeight="1"/>
    <row r="17" spans="1:6" ht="15.75" customHeight="1"/>
    <row r="18" spans="1:6" ht="15.75" customHeight="1"/>
    <row r="19" spans="1:6" ht="15.75" customHeight="1"/>
    <row r="20" spans="1:6" ht="15.75" customHeight="1"/>
    <row r="21" spans="1:6" ht="15.75" customHeight="1"/>
    <row r="22" spans="1:6" ht="15.75" customHeight="1">
      <c r="A22" s="4" t="s">
        <v>193</v>
      </c>
    </row>
    <row r="23" spans="1:6" ht="15.75" customHeight="1">
      <c r="A23" s="20" t="s">
        <v>194</v>
      </c>
      <c r="B23" s="21" t="s">
        <v>195</v>
      </c>
      <c r="E23" s="4" t="s">
        <v>196</v>
      </c>
      <c r="F23" s="4" t="s">
        <v>197</v>
      </c>
    </row>
    <row r="24" spans="1:6" ht="15.75" customHeight="1">
      <c r="A24" s="22">
        <v>1</v>
      </c>
      <c r="B24" s="4">
        <v>142</v>
      </c>
    </row>
    <row r="25" spans="1:6" ht="15.75" customHeight="1">
      <c r="A25" s="22">
        <v>2</v>
      </c>
      <c r="B25" s="4">
        <v>180</v>
      </c>
      <c r="E25" s="4">
        <v>2</v>
      </c>
      <c r="F25" s="4">
        <f>(B25+B32)/B38</f>
        <v>0.28017241379310343</v>
      </c>
    </row>
    <row r="26" spans="1:6" ht="15.75" customHeight="1">
      <c r="A26" s="22">
        <v>3</v>
      </c>
      <c r="B26" s="4">
        <v>87</v>
      </c>
      <c r="E26" s="4">
        <v>4</v>
      </c>
      <c r="F26" s="4">
        <f>B27/B38</f>
        <v>0.18103448275862069</v>
      </c>
    </row>
    <row r="27" spans="1:6" ht="15.75" customHeight="1">
      <c r="A27" s="22">
        <v>4</v>
      </c>
      <c r="B27" s="4">
        <v>126</v>
      </c>
      <c r="E27" s="4">
        <v>5</v>
      </c>
      <c r="F27" s="4">
        <f>B28/B38</f>
        <v>0.11637931034482758</v>
      </c>
    </row>
    <row r="28" spans="1:6" ht="15.75" customHeight="1">
      <c r="A28" s="22">
        <v>5</v>
      </c>
      <c r="B28" s="4">
        <v>81</v>
      </c>
      <c r="E28" s="4">
        <v>6</v>
      </c>
      <c r="F28" s="4">
        <f>B29/B38</f>
        <v>0.16522988505747127</v>
      </c>
    </row>
    <row r="29" spans="1:6" ht="15.75" customHeight="1">
      <c r="A29" s="22">
        <v>6</v>
      </c>
      <c r="B29" s="4">
        <v>115</v>
      </c>
      <c r="E29" s="4">
        <v>7</v>
      </c>
      <c r="F29" s="4">
        <f>B30/B38</f>
        <v>0.25718390804597702</v>
      </c>
    </row>
    <row r="30" spans="1:6" ht="15.75" customHeight="1">
      <c r="A30" s="22">
        <v>7</v>
      </c>
      <c r="B30" s="4">
        <v>179</v>
      </c>
    </row>
    <row r="31" spans="1:6" ht="15.75" customHeight="1">
      <c r="A31" s="22">
        <v>8</v>
      </c>
      <c r="B31" s="4">
        <v>15</v>
      </c>
    </row>
    <row r="32" spans="1:6" ht="15.75" customHeight="1">
      <c r="A32" s="22">
        <v>9</v>
      </c>
      <c r="B32" s="4">
        <v>15</v>
      </c>
    </row>
    <row r="33" spans="1:2" ht="15.75" customHeight="1">
      <c r="A33" s="22">
        <v>10</v>
      </c>
      <c r="B33" s="4">
        <v>15</v>
      </c>
    </row>
    <row r="34" spans="1:2" ht="15.75" customHeight="1">
      <c r="A34" s="22">
        <v>11</v>
      </c>
      <c r="B34" s="4">
        <v>15</v>
      </c>
    </row>
    <row r="35" spans="1:2" ht="15.75" customHeight="1">
      <c r="A35" s="22">
        <v>12</v>
      </c>
      <c r="B35" s="4">
        <v>15</v>
      </c>
    </row>
    <row r="36" spans="1:2" ht="15.75" customHeight="1">
      <c r="A36" s="22">
        <v>13</v>
      </c>
      <c r="B36" s="4">
        <v>15</v>
      </c>
    </row>
    <row r="37" spans="1:2" ht="15.75" customHeight="1"/>
    <row r="38" spans="1:2" ht="15.75" customHeight="1">
      <c r="A38" s="4" t="s">
        <v>198</v>
      </c>
      <c r="B38" s="4">
        <f>B25+B27+B28+B29+B30+B31</f>
        <v>696</v>
      </c>
    </row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/>
  </sheetViews>
  <sheetFormatPr baseColWidth="10" defaultColWidth="11.1640625" defaultRowHeight="15" customHeight="1"/>
  <cols>
    <col min="1" max="1" width="10.5" customWidth="1"/>
    <col min="2" max="2" width="31.33203125" customWidth="1"/>
    <col min="3" max="3" width="27" customWidth="1"/>
    <col min="4" max="4" width="22.33203125" customWidth="1"/>
    <col min="5" max="26" width="10.5" customWidth="1"/>
  </cols>
  <sheetData>
    <row r="1" spans="1:4" ht="15.75" customHeight="1">
      <c r="A1" s="1" t="s">
        <v>1</v>
      </c>
      <c r="B1" s="1" t="s">
        <v>199</v>
      </c>
      <c r="C1" s="1" t="s">
        <v>200</v>
      </c>
      <c r="D1" s="14" t="s">
        <v>201</v>
      </c>
    </row>
    <row r="2" spans="1:4" ht="15.75" customHeight="1">
      <c r="A2" s="4">
        <v>0</v>
      </c>
      <c r="B2" s="4" t="s">
        <v>202</v>
      </c>
      <c r="C2" s="19" t="s">
        <v>184</v>
      </c>
      <c r="D2" s="5" t="s">
        <v>203</v>
      </c>
    </row>
    <row r="3" spans="1:4" ht="15.75" customHeight="1">
      <c r="A3" s="4">
        <v>4</v>
      </c>
      <c r="B3" s="4" t="s">
        <v>204</v>
      </c>
      <c r="C3" s="19" t="s">
        <v>185</v>
      </c>
      <c r="D3" s="5" t="s">
        <v>205</v>
      </c>
    </row>
    <row r="4" spans="1:4" ht="15.75" customHeight="1">
      <c r="A4" s="4">
        <v>2</v>
      </c>
      <c r="B4" s="4" t="s">
        <v>206</v>
      </c>
      <c r="C4" s="4" t="s">
        <v>207</v>
      </c>
      <c r="D4" s="5" t="s">
        <v>205</v>
      </c>
    </row>
    <row r="5" spans="1:4" ht="15.75" customHeight="1">
      <c r="A5" s="4">
        <v>5</v>
      </c>
      <c r="B5" s="4" t="s">
        <v>208</v>
      </c>
      <c r="C5" s="19" t="s">
        <v>186</v>
      </c>
      <c r="D5" s="5" t="s">
        <v>205</v>
      </c>
    </row>
    <row r="6" spans="1:4" ht="15.75" customHeight="1">
      <c r="A6" s="4">
        <v>6</v>
      </c>
      <c r="B6" s="4" t="s">
        <v>209</v>
      </c>
      <c r="C6" s="4" t="s">
        <v>209</v>
      </c>
      <c r="D6" s="5" t="s">
        <v>210</v>
      </c>
    </row>
    <row r="7" spans="1:4" ht="15.75" customHeight="1">
      <c r="A7" s="4">
        <v>7</v>
      </c>
      <c r="B7" s="4" t="s">
        <v>211</v>
      </c>
      <c r="C7" s="19" t="s">
        <v>189</v>
      </c>
      <c r="D7" s="5" t="s">
        <v>205</v>
      </c>
    </row>
    <row r="8" spans="1:4" ht="15.75" customHeight="1">
      <c r="A8" s="4">
        <v>8</v>
      </c>
      <c r="B8" s="4" t="s">
        <v>212</v>
      </c>
      <c r="C8" s="19" t="s">
        <v>190</v>
      </c>
      <c r="D8" s="5" t="s">
        <v>203</v>
      </c>
    </row>
    <row r="9" spans="1:4" ht="15.75" customHeight="1">
      <c r="A9" s="5"/>
    </row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000"/>
  <sheetViews>
    <sheetView workbookViewId="0"/>
  </sheetViews>
  <sheetFormatPr baseColWidth="10" defaultColWidth="11.1640625" defaultRowHeight="15" customHeight="1"/>
  <cols>
    <col min="2" max="2" width="13.5" customWidth="1"/>
    <col min="6" max="6" width="29.1640625" customWidth="1"/>
  </cols>
  <sheetData>
    <row r="1" spans="1:8">
      <c r="A1" s="8" t="s">
        <v>213</v>
      </c>
      <c r="B1" s="8" t="s">
        <v>214</v>
      </c>
      <c r="C1" s="8" t="s">
        <v>215</v>
      </c>
      <c r="D1" s="8" t="s">
        <v>216</v>
      </c>
      <c r="E1" s="8" t="s">
        <v>217</v>
      </c>
      <c r="F1" s="23" t="s">
        <v>218</v>
      </c>
      <c r="G1" s="8" t="s">
        <v>219</v>
      </c>
      <c r="H1" s="8" t="s">
        <v>220</v>
      </c>
    </row>
    <row r="2" spans="1:8">
      <c r="A2" s="17" t="b">
        <v>1</v>
      </c>
      <c r="B2" s="24" t="s">
        <v>221</v>
      </c>
      <c r="C2" s="11" t="s">
        <v>204</v>
      </c>
      <c r="D2" s="17" t="s">
        <v>222</v>
      </c>
      <c r="E2" s="17" t="s">
        <v>223</v>
      </c>
      <c r="F2" s="25" t="s">
        <v>224</v>
      </c>
      <c r="G2" s="17" t="s">
        <v>205</v>
      </c>
      <c r="H2" s="17"/>
    </row>
    <row r="3" spans="1:8">
      <c r="A3" s="17" t="b">
        <v>1</v>
      </c>
      <c r="B3" s="24" t="s">
        <v>225</v>
      </c>
      <c r="C3" s="26" t="s">
        <v>226</v>
      </c>
      <c r="D3" s="17" t="s">
        <v>227</v>
      </c>
      <c r="E3" s="17" t="s">
        <v>223</v>
      </c>
      <c r="F3" s="25" t="s">
        <v>228</v>
      </c>
      <c r="G3" s="17"/>
    </row>
    <row r="4" spans="1:8">
      <c r="A4" s="17" t="b">
        <v>1</v>
      </c>
      <c r="B4" s="27" t="s">
        <v>229</v>
      </c>
      <c r="C4" s="5" t="s">
        <v>230</v>
      </c>
      <c r="D4" s="17" t="s">
        <v>227</v>
      </c>
      <c r="E4" s="17" t="s">
        <v>223</v>
      </c>
      <c r="F4" s="28" t="s">
        <v>231</v>
      </c>
    </row>
    <row r="5" spans="1:8">
      <c r="A5" s="5" t="b">
        <v>1</v>
      </c>
      <c r="B5" s="27" t="s">
        <v>232</v>
      </c>
      <c r="C5" s="5" t="s">
        <v>206</v>
      </c>
      <c r="D5" s="17" t="s">
        <v>222</v>
      </c>
      <c r="E5" s="17" t="s">
        <v>223</v>
      </c>
      <c r="F5" s="28" t="s">
        <v>233</v>
      </c>
    </row>
    <row r="6" spans="1:8">
      <c r="A6" s="5" t="b">
        <v>1</v>
      </c>
      <c r="B6" s="27" t="s">
        <v>234</v>
      </c>
      <c r="C6" s="5" t="s">
        <v>208</v>
      </c>
      <c r="D6" s="17" t="s">
        <v>222</v>
      </c>
      <c r="E6" s="17" t="s">
        <v>223</v>
      </c>
      <c r="F6" s="28" t="s">
        <v>235</v>
      </c>
    </row>
    <row r="7" spans="1:8">
      <c r="A7" s="5" t="b">
        <v>1</v>
      </c>
      <c r="B7" s="5" t="s">
        <v>236</v>
      </c>
      <c r="C7" s="5" t="s">
        <v>237</v>
      </c>
      <c r="D7" s="17" t="s">
        <v>227</v>
      </c>
      <c r="E7" s="17" t="s">
        <v>223</v>
      </c>
      <c r="F7" s="28" t="s">
        <v>238</v>
      </c>
    </row>
    <row r="8" spans="1:8">
      <c r="A8" s="5" t="b">
        <v>1</v>
      </c>
      <c r="B8" s="5" t="s">
        <v>239</v>
      </c>
      <c r="C8" s="5" t="s">
        <v>240</v>
      </c>
      <c r="D8" s="17" t="s">
        <v>227</v>
      </c>
      <c r="E8" s="17" t="s">
        <v>223</v>
      </c>
      <c r="F8" s="28" t="s">
        <v>241</v>
      </c>
    </row>
    <row r="9" spans="1:8">
      <c r="F9" s="29"/>
    </row>
    <row r="10" spans="1:8">
      <c r="F10" s="29"/>
    </row>
    <row r="11" spans="1:8">
      <c r="F11" s="29"/>
    </row>
    <row r="12" spans="1:8">
      <c r="F12" s="29"/>
    </row>
    <row r="13" spans="1:8">
      <c r="F13" s="29"/>
    </row>
    <row r="14" spans="1:8">
      <c r="F14" s="29"/>
    </row>
    <row r="15" spans="1:8">
      <c r="F15" s="29"/>
    </row>
    <row r="16" spans="1:8">
      <c r="F16" s="29"/>
    </row>
    <row r="17" spans="6:6">
      <c r="F17" s="29"/>
    </row>
    <row r="18" spans="6:6">
      <c r="F18" s="29"/>
    </row>
    <row r="19" spans="6:6">
      <c r="F19" s="29"/>
    </row>
    <row r="20" spans="6:6">
      <c r="F20" s="29"/>
    </row>
    <row r="21" spans="6:6">
      <c r="F21" s="29"/>
    </row>
    <row r="22" spans="6:6">
      <c r="F22" s="29"/>
    </row>
    <row r="23" spans="6:6">
      <c r="F23" s="29"/>
    </row>
    <row r="24" spans="6:6">
      <c r="F24" s="29"/>
    </row>
    <row r="25" spans="6:6">
      <c r="F25" s="29"/>
    </row>
    <row r="26" spans="6:6">
      <c r="F26" s="29"/>
    </row>
    <row r="27" spans="6:6">
      <c r="F27" s="29"/>
    </row>
    <row r="28" spans="6:6">
      <c r="F28" s="29"/>
    </row>
    <row r="29" spans="6:6">
      <c r="F29" s="29"/>
    </row>
    <row r="30" spans="6:6">
      <c r="F30" s="29"/>
    </row>
    <row r="31" spans="6:6">
      <c r="F31" s="29"/>
    </row>
    <row r="32" spans="6:6">
      <c r="F32" s="29"/>
    </row>
    <row r="33" spans="6:6">
      <c r="F33" s="29"/>
    </row>
    <row r="34" spans="6:6">
      <c r="F34" s="29"/>
    </row>
    <row r="35" spans="6:6">
      <c r="F35" s="29"/>
    </row>
    <row r="36" spans="6:6">
      <c r="F36" s="29"/>
    </row>
    <row r="37" spans="6:6">
      <c r="F37" s="29"/>
    </row>
    <row r="38" spans="6:6">
      <c r="F38" s="29"/>
    </row>
    <row r="39" spans="6:6">
      <c r="F39" s="29"/>
    </row>
    <row r="40" spans="6:6">
      <c r="F40" s="29"/>
    </row>
    <row r="41" spans="6:6">
      <c r="F41" s="29"/>
    </row>
    <row r="42" spans="6:6">
      <c r="F42" s="29"/>
    </row>
    <row r="43" spans="6:6">
      <c r="F43" s="29"/>
    </row>
    <row r="44" spans="6:6">
      <c r="F44" s="29"/>
    </row>
    <row r="45" spans="6:6">
      <c r="F45" s="29"/>
    </row>
    <row r="46" spans="6:6">
      <c r="F46" s="29"/>
    </row>
    <row r="47" spans="6:6">
      <c r="F47" s="29"/>
    </row>
    <row r="48" spans="6:6">
      <c r="F48" s="29"/>
    </row>
    <row r="49" spans="6:6">
      <c r="F49" s="29"/>
    </row>
    <row r="50" spans="6:6">
      <c r="F50" s="29"/>
    </row>
    <row r="51" spans="6:6">
      <c r="F51" s="29"/>
    </row>
    <row r="52" spans="6:6">
      <c r="F52" s="29"/>
    </row>
    <row r="53" spans="6:6">
      <c r="F53" s="29"/>
    </row>
    <row r="54" spans="6:6">
      <c r="F54" s="29"/>
    </row>
    <row r="55" spans="6:6">
      <c r="F55" s="29"/>
    </row>
    <row r="56" spans="6:6">
      <c r="F56" s="29"/>
    </row>
    <row r="57" spans="6:6">
      <c r="F57" s="29"/>
    </row>
    <row r="58" spans="6:6">
      <c r="F58" s="29"/>
    </row>
    <row r="59" spans="6:6">
      <c r="F59" s="29"/>
    </row>
    <row r="60" spans="6:6">
      <c r="F60" s="29"/>
    </row>
    <row r="61" spans="6:6">
      <c r="F61" s="29"/>
    </row>
    <row r="62" spans="6:6">
      <c r="F62" s="29"/>
    </row>
    <row r="63" spans="6:6">
      <c r="F63" s="29"/>
    </row>
    <row r="64" spans="6:6">
      <c r="F64" s="29"/>
    </row>
    <row r="65" spans="6:6">
      <c r="F65" s="29"/>
    </row>
    <row r="66" spans="6:6">
      <c r="F66" s="29"/>
    </row>
    <row r="67" spans="6:6">
      <c r="F67" s="29"/>
    </row>
    <row r="68" spans="6:6">
      <c r="F68" s="29"/>
    </row>
    <row r="69" spans="6:6">
      <c r="F69" s="29"/>
    </row>
    <row r="70" spans="6:6">
      <c r="F70" s="29"/>
    </row>
    <row r="71" spans="6:6">
      <c r="F71" s="29"/>
    </row>
    <row r="72" spans="6:6">
      <c r="F72" s="29"/>
    </row>
    <row r="73" spans="6:6">
      <c r="F73" s="29"/>
    </row>
    <row r="74" spans="6:6">
      <c r="F74" s="29"/>
    </row>
    <row r="75" spans="6:6">
      <c r="F75" s="29"/>
    </row>
    <row r="76" spans="6:6">
      <c r="F76" s="29"/>
    </row>
    <row r="77" spans="6:6">
      <c r="F77" s="29"/>
    </row>
    <row r="78" spans="6:6">
      <c r="F78" s="29"/>
    </row>
    <row r="79" spans="6:6">
      <c r="F79" s="29"/>
    </row>
    <row r="80" spans="6:6">
      <c r="F80" s="29"/>
    </row>
    <row r="81" spans="6:6">
      <c r="F81" s="29"/>
    </row>
    <row r="82" spans="6:6">
      <c r="F82" s="29"/>
    </row>
    <row r="83" spans="6:6">
      <c r="F83" s="29"/>
    </row>
    <row r="84" spans="6:6">
      <c r="F84" s="29"/>
    </row>
    <row r="85" spans="6:6">
      <c r="F85" s="29"/>
    </row>
    <row r="86" spans="6:6">
      <c r="F86" s="29"/>
    </row>
    <row r="87" spans="6:6">
      <c r="F87" s="29"/>
    </row>
    <row r="88" spans="6:6">
      <c r="F88" s="29"/>
    </row>
    <row r="89" spans="6:6">
      <c r="F89" s="29"/>
    </row>
    <row r="90" spans="6:6">
      <c r="F90" s="29"/>
    </row>
    <row r="91" spans="6:6">
      <c r="F91" s="29"/>
    </row>
    <row r="92" spans="6:6">
      <c r="F92" s="29"/>
    </row>
    <row r="93" spans="6:6">
      <c r="F93" s="29"/>
    </row>
    <row r="94" spans="6:6">
      <c r="F94" s="29"/>
    </row>
    <row r="95" spans="6:6">
      <c r="F95" s="29"/>
    </row>
    <row r="96" spans="6:6">
      <c r="F96" s="29"/>
    </row>
    <row r="97" spans="6:6">
      <c r="F97" s="29"/>
    </row>
    <row r="98" spans="6:6">
      <c r="F98" s="29"/>
    </row>
    <row r="99" spans="6:6">
      <c r="F99" s="29"/>
    </row>
    <row r="100" spans="6:6">
      <c r="F100" s="29"/>
    </row>
    <row r="101" spans="6:6">
      <c r="F101" s="29"/>
    </row>
    <row r="102" spans="6:6">
      <c r="F102" s="29"/>
    </row>
    <row r="103" spans="6:6">
      <c r="F103" s="29"/>
    </row>
    <row r="104" spans="6:6">
      <c r="F104" s="29"/>
    </row>
    <row r="105" spans="6:6">
      <c r="F105" s="29"/>
    </row>
    <row r="106" spans="6:6">
      <c r="F106" s="29"/>
    </row>
    <row r="107" spans="6:6">
      <c r="F107" s="29"/>
    </row>
    <row r="108" spans="6:6">
      <c r="F108" s="29"/>
    </row>
    <row r="109" spans="6:6">
      <c r="F109" s="29"/>
    </row>
    <row r="110" spans="6:6">
      <c r="F110" s="29"/>
    </row>
    <row r="111" spans="6:6">
      <c r="F111" s="29"/>
    </row>
    <row r="112" spans="6:6">
      <c r="F112" s="29"/>
    </row>
    <row r="113" spans="6:6">
      <c r="F113" s="29"/>
    </row>
    <row r="114" spans="6:6">
      <c r="F114" s="29"/>
    </row>
    <row r="115" spans="6:6">
      <c r="F115" s="29"/>
    </row>
    <row r="116" spans="6:6">
      <c r="F116" s="29"/>
    </row>
    <row r="117" spans="6:6">
      <c r="F117" s="29"/>
    </row>
    <row r="118" spans="6:6">
      <c r="F118" s="29"/>
    </row>
    <row r="119" spans="6:6">
      <c r="F119" s="29"/>
    </row>
    <row r="120" spans="6:6">
      <c r="F120" s="29"/>
    </row>
    <row r="121" spans="6:6">
      <c r="F121" s="29"/>
    </row>
    <row r="122" spans="6:6">
      <c r="F122" s="29"/>
    </row>
    <row r="123" spans="6:6">
      <c r="F123" s="29"/>
    </row>
    <row r="124" spans="6:6">
      <c r="F124" s="29"/>
    </row>
    <row r="125" spans="6:6">
      <c r="F125" s="29"/>
    </row>
    <row r="126" spans="6:6">
      <c r="F126" s="29"/>
    </row>
    <row r="127" spans="6:6">
      <c r="F127" s="29"/>
    </row>
    <row r="128" spans="6:6">
      <c r="F128" s="29"/>
    </row>
    <row r="129" spans="6:6">
      <c r="F129" s="29"/>
    </row>
    <row r="130" spans="6:6">
      <c r="F130" s="29"/>
    </row>
    <row r="131" spans="6:6">
      <c r="F131" s="29"/>
    </row>
    <row r="132" spans="6:6">
      <c r="F132" s="29"/>
    </row>
    <row r="133" spans="6:6">
      <c r="F133" s="29"/>
    </row>
    <row r="134" spans="6:6">
      <c r="F134" s="29"/>
    </row>
    <row r="135" spans="6:6">
      <c r="F135" s="29"/>
    </row>
    <row r="136" spans="6:6">
      <c r="F136" s="29"/>
    </row>
    <row r="137" spans="6:6">
      <c r="F137" s="29"/>
    </row>
    <row r="138" spans="6:6">
      <c r="F138" s="29"/>
    </row>
    <row r="139" spans="6:6">
      <c r="F139" s="29"/>
    </row>
    <row r="140" spans="6:6">
      <c r="F140" s="29"/>
    </row>
    <row r="141" spans="6:6">
      <c r="F141" s="29"/>
    </row>
    <row r="142" spans="6:6">
      <c r="F142" s="29"/>
    </row>
    <row r="143" spans="6:6">
      <c r="F143" s="29"/>
    </row>
    <row r="144" spans="6:6">
      <c r="F144" s="29"/>
    </row>
    <row r="145" spans="6:6">
      <c r="F145" s="29"/>
    </row>
    <row r="146" spans="6:6">
      <c r="F146" s="29"/>
    </row>
    <row r="147" spans="6:6">
      <c r="F147" s="29"/>
    </row>
    <row r="148" spans="6:6">
      <c r="F148" s="29"/>
    </row>
    <row r="149" spans="6:6">
      <c r="F149" s="29"/>
    </row>
    <row r="150" spans="6:6">
      <c r="F150" s="29"/>
    </row>
    <row r="151" spans="6:6">
      <c r="F151" s="29"/>
    </row>
    <row r="152" spans="6:6">
      <c r="F152" s="29"/>
    </row>
    <row r="153" spans="6:6">
      <c r="F153" s="29"/>
    </row>
    <row r="154" spans="6:6">
      <c r="F154" s="29"/>
    </row>
    <row r="155" spans="6:6">
      <c r="F155" s="29"/>
    </row>
    <row r="156" spans="6:6">
      <c r="F156" s="29"/>
    </row>
    <row r="157" spans="6:6">
      <c r="F157" s="29"/>
    </row>
    <row r="158" spans="6:6">
      <c r="F158" s="29"/>
    </row>
    <row r="159" spans="6:6">
      <c r="F159" s="29"/>
    </row>
    <row r="160" spans="6:6">
      <c r="F160" s="29"/>
    </row>
    <row r="161" spans="6:6">
      <c r="F161" s="29"/>
    </row>
    <row r="162" spans="6:6">
      <c r="F162" s="29"/>
    </row>
    <row r="163" spans="6:6">
      <c r="F163" s="29"/>
    </row>
    <row r="164" spans="6:6">
      <c r="F164" s="29"/>
    </row>
    <row r="165" spans="6:6">
      <c r="F165" s="29"/>
    </row>
    <row r="166" spans="6:6">
      <c r="F166" s="29"/>
    </row>
    <row r="167" spans="6:6">
      <c r="F167" s="29"/>
    </row>
    <row r="168" spans="6:6">
      <c r="F168" s="29"/>
    </row>
    <row r="169" spans="6:6">
      <c r="F169" s="29"/>
    </row>
    <row r="170" spans="6:6">
      <c r="F170" s="29"/>
    </row>
    <row r="171" spans="6:6">
      <c r="F171" s="29"/>
    </row>
    <row r="172" spans="6:6">
      <c r="F172" s="29"/>
    </row>
    <row r="173" spans="6:6">
      <c r="F173" s="29"/>
    </row>
    <row r="174" spans="6:6">
      <c r="F174" s="29"/>
    </row>
    <row r="175" spans="6:6">
      <c r="F175" s="29"/>
    </row>
    <row r="176" spans="6:6">
      <c r="F176" s="29"/>
    </row>
    <row r="177" spans="6:6">
      <c r="F177" s="29"/>
    </row>
    <row r="178" spans="6:6">
      <c r="F178" s="29"/>
    </row>
    <row r="179" spans="6:6">
      <c r="F179" s="29"/>
    </row>
    <row r="180" spans="6:6">
      <c r="F180" s="29"/>
    </row>
    <row r="181" spans="6:6">
      <c r="F181" s="29"/>
    </row>
    <row r="182" spans="6:6">
      <c r="F182" s="29"/>
    </row>
    <row r="183" spans="6:6">
      <c r="F183" s="29"/>
    </row>
    <row r="184" spans="6:6">
      <c r="F184" s="29"/>
    </row>
    <row r="185" spans="6:6">
      <c r="F185" s="29"/>
    </row>
    <row r="186" spans="6:6">
      <c r="F186" s="29"/>
    </row>
    <row r="187" spans="6:6">
      <c r="F187" s="29"/>
    </row>
    <row r="188" spans="6:6">
      <c r="F188" s="29"/>
    </row>
    <row r="189" spans="6:6">
      <c r="F189" s="29"/>
    </row>
    <row r="190" spans="6:6">
      <c r="F190" s="29"/>
    </row>
    <row r="191" spans="6:6">
      <c r="F191" s="29"/>
    </row>
    <row r="192" spans="6:6">
      <c r="F192" s="29"/>
    </row>
    <row r="193" spans="6:6">
      <c r="F193" s="29"/>
    </row>
    <row r="194" spans="6:6">
      <c r="F194" s="29"/>
    </row>
    <row r="195" spans="6:6">
      <c r="F195" s="29"/>
    </row>
    <row r="196" spans="6:6">
      <c r="F196" s="29"/>
    </row>
    <row r="197" spans="6:6">
      <c r="F197" s="29"/>
    </row>
    <row r="198" spans="6:6">
      <c r="F198" s="29"/>
    </row>
    <row r="199" spans="6:6">
      <c r="F199" s="29"/>
    </row>
    <row r="200" spans="6:6">
      <c r="F200" s="29"/>
    </row>
    <row r="201" spans="6:6">
      <c r="F201" s="29"/>
    </row>
    <row r="202" spans="6:6">
      <c r="F202" s="29"/>
    </row>
    <row r="203" spans="6:6">
      <c r="F203" s="29"/>
    </row>
    <row r="204" spans="6:6">
      <c r="F204" s="29"/>
    </row>
    <row r="205" spans="6:6">
      <c r="F205" s="29"/>
    </row>
    <row r="206" spans="6:6">
      <c r="F206" s="29"/>
    </row>
    <row r="207" spans="6:6">
      <c r="F207" s="29"/>
    </row>
    <row r="208" spans="6:6">
      <c r="F208" s="29"/>
    </row>
    <row r="209" spans="6:6">
      <c r="F209" s="29"/>
    </row>
    <row r="210" spans="6:6">
      <c r="F210" s="29"/>
    </row>
    <row r="211" spans="6:6">
      <c r="F211" s="29"/>
    </row>
    <row r="212" spans="6:6">
      <c r="F212" s="29"/>
    </row>
    <row r="213" spans="6:6">
      <c r="F213" s="29"/>
    </row>
    <row r="214" spans="6:6">
      <c r="F214" s="29"/>
    </row>
    <row r="215" spans="6:6">
      <c r="F215" s="29"/>
    </row>
    <row r="216" spans="6:6">
      <c r="F216" s="29"/>
    </row>
    <row r="217" spans="6:6">
      <c r="F217" s="29"/>
    </row>
    <row r="218" spans="6:6">
      <c r="F218" s="29"/>
    </row>
    <row r="219" spans="6:6">
      <c r="F219" s="29"/>
    </row>
    <row r="220" spans="6:6">
      <c r="F220" s="29"/>
    </row>
    <row r="221" spans="6:6">
      <c r="F221" s="29"/>
    </row>
    <row r="222" spans="6:6">
      <c r="F222" s="29"/>
    </row>
    <row r="223" spans="6:6">
      <c r="F223" s="29"/>
    </row>
    <row r="224" spans="6:6">
      <c r="F224" s="29"/>
    </row>
    <row r="225" spans="6:6">
      <c r="F225" s="29"/>
    </row>
    <row r="226" spans="6:6">
      <c r="F226" s="29"/>
    </row>
    <row r="227" spans="6:6">
      <c r="F227" s="29"/>
    </row>
    <row r="228" spans="6:6">
      <c r="F228" s="29"/>
    </row>
    <row r="229" spans="6:6">
      <c r="F229" s="29"/>
    </row>
    <row r="230" spans="6:6">
      <c r="F230" s="29"/>
    </row>
    <row r="231" spans="6:6">
      <c r="F231" s="29"/>
    </row>
    <row r="232" spans="6:6">
      <c r="F232" s="29"/>
    </row>
    <row r="233" spans="6:6">
      <c r="F233" s="29"/>
    </row>
    <row r="234" spans="6:6">
      <c r="F234" s="29"/>
    </row>
    <row r="235" spans="6:6">
      <c r="F235" s="29"/>
    </row>
    <row r="236" spans="6:6">
      <c r="F236" s="29"/>
    </row>
    <row r="237" spans="6:6">
      <c r="F237" s="29"/>
    </row>
    <row r="238" spans="6:6">
      <c r="F238" s="29"/>
    </row>
    <row r="239" spans="6:6">
      <c r="F239" s="29"/>
    </row>
    <row r="240" spans="6:6">
      <c r="F240" s="29"/>
    </row>
    <row r="241" spans="6:6">
      <c r="F241" s="29"/>
    </row>
    <row r="242" spans="6:6">
      <c r="F242" s="29"/>
    </row>
    <row r="243" spans="6:6">
      <c r="F243" s="29"/>
    </row>
    <row r="244" spans="6:6">
      <c r="F244" s="29"/>
    </row>
    <row r="245" spans="6:6">
      <c r="F245" s="29"/>
    </row>
    <row r="246" spans="6:6">
      <c r="F246" s="29"/>
    </row>
    <row r="247" spans="6:6">
      <c r="F247" s="29"/>
    </row>
    <row r="248" spans="6:6">
      <c r="F248" s="29"/>
    </row>
    <row r="249" spans="6:6">
      <c r="F249" s="29"/>
    </row>
    <row r="250" spans="6:6">
      <c r="F250" s="29"/>
    </row>
    <row r="251" spans="6:6">
      <c r="F251" s="29"/>
    </row>
    <row r="252" spans="6:6">
      <c r="F252" s="29"/>
    </row>
    <row r="253" spans="6:6">
      <c r="F253" s="29"/>
    </row>
    <row r="254" spans="6:6">
      <c r="F254" s="29"/>
    </row>
    <row r="255" spans="6:6">
      <c r="F255" s="29"/>
    </row>
    <row r="256" spans="6:6">
      <c r="F256" s="29"/>
    </row>
    <row r="257" spans="6:6">
      <c r="F257" s="29"/>
    </row>
    <row r="258" spans="6:6">
      <c r="F258" s="29"/>
    </row>
    <row r="259" spans="6:6">
      <c r="F259" s="29"/>
    </row>
    <row r="260" spans="6:6">
      <c r="F260" s="29"/>
    </row>
    <row r="261" spans="6:6">
      <c r="F261" s="29"/>
    </row>
    <row r="262" spans="6:6">
      <c r="F262" s="29"/>
    </row>
    <row r="263" spans="6:6">
      <c r="F263" s="29"/>
    </row>
    <row r="264" spans="6:6">
      <c r="F264" s="29"/>
    </row>
    <row r="265" spans="6:6">
      <c r="F265" s="29"/>
    </row>
    <row r="266" spans="6:6">
      <c r="F266" s="29"/>
    </row>
    <row r="267" spans="6:6">
      <c r="F267" s="29"/>
    </row>
    <row r="268" spans="6:6">
      <c r="F268" s="29"/>
    </row>
    <row r="269" spans="6:6">
      <c r="F269" s="29"/>
    </row>
    <row r="270" spans="6:6">
      <c r="F270" s="29"/>
    </row>
    <row r="271" spans="6:6">
      <c r="F271" s="29"/>
    </row>
    <row r="272" spans="6:6">
      <c r="F272" s="29"/>
    </row>
    <row r="273" spans="6:6">
      <c r="F273" s="29"/>
    </row>
    <row r="274" spans="6:6">
      <c r="F274" s="29"/>
    </row>
    <row r="275" spans="6:6">
      <c r="F275" s="29"/>
    </row>
    <row r="276" spans="6:6">
      <c r="F276" s="29"/>
    </row>
    <row r="277" spans="6:6">
      <c r="F277" s="29"/>
    </row>
    <row r="278" spans="6:6">
      <c r="F278" s="29"/>
    </row>
    <row r="279" spans="6:6">
      <c r="F279" s="29"/>
    </row>
    <row r="280" spans="6:6">
      <c r="F280" s="29"/>
    </row>
    <row r="281" spans="6:6">
      <c r="F281" s="29"/>
    </row>
    <row r="282" spans="6:6">
      <c r="F282" s="29"/>
    </row>
    <row r="283" spans="6:6">
      <c r="F283" s="29"/>
    </row>
    <row r="284" spans="6:6">
      <c r="F284" s="29"/>
    </row>
    <row r="285" spans="6:6">
      <c r="F285" s="29"/>
    </row>
    <row r="286" spans="6:6">
      <c r="F286" s="29"/>
    </row>
    <row r="287" spans="6:6">
      <c r="F287" s="29"/>
    </row>
    <row r="288" spans="6:6">
      <c r="F288" s="29"/>
    </row>
    <row r="289" spans="6:6">
      <c r="F289" s="29"/>
    </row>
    <row r="290" spans="6:6">
      <c r="F290" s="29"/>
    </row>
    <row r="291" spans="6:6">
      <c r="F291" s="29"/>
    </row>
    <row r="292" spans="6:6">
      <c r="F292" s="29"/>
    </row>
    <row r="293" spans="6:6">
      <c r="F293" s="29"/>
    </row>
    <row r="294" spans="6:6">
      <c r="F294" s="29"/>
    </row>
    <row r="295" spans="6:6">
      <c r="F295" s="29"/>
    </row>
    <row r="296" spans="6:6">
      <c r="F296" s="29"/>
    </row>
    <row r="297" spans="6:6">
      <c r="F297" s="29"/>
    </row>
    <row r="298" spans="6:6">
      <c r="F298" s="29"/>
    </row>
    <row r="299" spans="6:6">
      <c r="F299" s="29"/>
    </row>
    <row r="300" spans="6:6">
      <c r="F300" s="29"/>
    </row>
    <row r="301" spans="6:6">
      <c r="F301" s="29"/>
    </row>
    <row r="302" spans="6:6">
      <c r="F302" s="29"/>
    </row>
    <row r="303" spans="6:6">
      <c r="F303" s="29"/>
    </row>
    <row r="304" spans="6:6">
      <c r="F304" s="29"/>
    </row>
    <row r="305" spans="6:6">
      <c r="F305" s="29"/>
    </row>
    <row r="306" spans="6:6">
      <c r="F306" s="29"/>
    </row>
    <row r="307" spans="6:6">
      <c r="F307" s="29"/>
    </row>
    <row r="308" spans="6:6">
      <c r="F308" s="29"/>
    </row>
    <row r="309" spans="6:6">
      <c r="F309" s="29"/>
    </row>
    <row r="310" spans="6:6">
      <c r="F310" s="29"/>
    </row>
    <row r="311" spans="6:6">
      <c r="F311" s="29"/>
    </row>
    <row r="312" spans="6:6">
      <c r="F312" s="29"/>
    </row>
    <row r="313" spans="6:6">
      <c r="F313" s="29"/>
    </row>
    <row r="314" spans="6:6">
      <c r="F314" s="29"/>
    </row>
    <row r="315" spans="6:6">
      <c r="F315" s="29"/>
    </row>
    <row r="316" spans="6:6">
      <c r="F316" s="29"/>
    </row>
    <row r="317" spans="6:6">
      <c r="F317" s="29"/>
    </row>
    <row r="318" spans="6:6">
      <c r="F318" s="29"/>
    </row>
    <row r="319" spans="6:6">
      <c r="F319" s="29"/>
    </row>
    <row r="320" spans="6:6">
      <c r="F320" s="29"/>
    </row>
    <row r="321" spans="6:6">
      <c r="F321" s="29"/>
    </row>
    <row r="322" spans="6:6">
      <c r="F322" s="29"/>
    </row>
    <row r="323" spans="6:6">
      <c r="F323" s="29"/>
    </row>
    <row r="324" spans="6:6">
      <c r="F324" s="29"/>
    </row>
    <row r="325" spans="6:6">
      <c r="F325" s="29"/>
    </row>
    <row r="326" spans="6:6">
      <c r="F326" s="29"/>
    </row>
    <row r="327" spans="6:6">
      <c r="F327" s="29"/>
    </row>
    <row r="328" spans="6:6">
      <c r="F328" s="29"/>
    </row>
    <row r="329" spans="6:6">
      <c r="F329" s="29"/>
    </row>
    <row r="330" spans="6:6">
      <c r="F330" s="29"/>
    </row>
    <row r="331" spans="6:6">
      <c r="F331" s="29"/>
    </row>
    <row r="332" spans="6:6">
      <c r="F332" s="29"/>
    </row>
    <row r="333" spans="6:6">
      <c r="F333" s="29"/>
    </row>
    <row r="334" spans="6:6">
      <c r="F334" s="29"/>
    </row>
    <row r="335" spans="6:6">
      <c r="F335" s="29"/>
    </row>
    <row r="336" spans="6:6">
      <c r="F336" s="29"/>
    </row>
    <row r="337" spans="6:6">
      <c r="F337" s="29"/>
    </row>
    <row r="338" spans="6:6">
      <c r="F338" s="29"/>
    </row>
    <row r="339" spans="6:6">
      <c r="F339" s="29"/>
    </row>
    <row r="340" spans="6:6">
      <c r="F340" s="29"/>
    </row>
    <row r="341" spans="6:6">
      <c r="F341" s="29"/>
    </row>
    <row r="342" spans="6:6">
      <c r="F342" s="29"/>
    </row>
    <row r="343" spans="6:6">
      <c r="F343" s="29"/>
    </row>
    <row r="344" spans="6:6">
      <c r="F344" s="29"/>
    </row>
    <row r="345" spans="6:6">
      <c r="F345" s="29"/>
    </row>
    <row r="346" spans="6:6">
      <c r="F346" s="29"/>
    </row>
    <row r="347" spans="6:6">
      <c r="F347" s="29"/>
    </row>
    <row r="348" spans="6:6">
      <c r="F348" s="29"/>
    </row>
    <row r="349" spans="6:6">
      <c r="F349" s="29"/>
    </row>
    <row r="350" spans="6:6">
      <c r="F350" s="29"/>
    </row>
    <row r="351" spans="6:6">
      <c r="F351" s="29"/>
    </row>
    <row r="352" spans="6:6">
      <c r="F352" s="29"/>
    </row>
    <row r="353" spans="6:6">
      <c r="F353" s="29"/>
    </row>
    <row r="354" spans="6:6">
      <c r="F354" s="29"/>
    </row>
    <row r="355" spans="6:6">
      <c r="F355" s="29"/>
    </row>
    <row r="356" spans="6:6">
      <c r="F356" s="29"/>
    </row>
    <row r="357" spans="6:6">
      <c r="F357" s="29"/>
    </row>
    <row r="358" spans="6:6">
      <c r="F358" s="29"/>
    </row>
    <row r="359" spans="6:6">
      <c r="F359" s="29"/>
    </row>
    <row r="360" spans="6:6">
      <c r="F360" s="29"/>
    </row>
    <row r="361" spans="6:6">
      <c r="F361" s="29"/>
    </row>
    <row r="362" spans="6:6">
      <c r="F362" s="29"/>
    </row>
    <row r="363" spans="6:6">
      <c r="F363" s="29"/>
    </row>
    <row r="364" spans="6:6">
      <c r="F364" s="29"/>
    </row>
    <row r="365" spans="6:6">
      <c r="F365" s="29"/>
    </row>
    <row r="366" spans="6:6">
      <c r="F366" s="29"/>
    </row>
    <row r="367" spans="6:6">
      <c r="F367" s="29"/>
    </row>
    <row r="368" spans="6:6">
      <c r="F368" s="29"/>
    </row>
    <row r="369" spans="6:6">
      <c r="F369" s="29"/>
    </row>
    <row r="370" spans="6:6">
      <c r="F370" s="29"/>
    </row>
    <row r="371" spans="6:6">
      <c r="F371" s="29"/>
    </row>
    <row r="372" spans="6:6">
      <c r="F372" s="29"/>
    </row>
    <row r="373" spans="6:6">
      <c r="F373" s="29"/>
    </row>
    <row r="374" spans="6:6">
      <c r="F374" s="29"/>
    </row>
    <row r="375" spans="6:6">
      <c r="F375" s="29"/>
    </row>
    <row r="376" spans="6:6">
      <c r="F376" s="29"/>
    </row>
    <row r="377" spans="6:6">
      <c r="F377" s="29"/>
    </row>
    <row r="378" spans="6:6">
      <c r="F378" s="29"/>
    </row>
    <row r="379" spans="6:6">
      <c r="F379" s="29"/>
    </row>
    <row r="380" spans="6:6">
      <c r="F380" s="29"/>
    </row>
    <row r="381" spans="6:6">
      <c r="F381" s="29"/>
    </row>
    <row r="382" spans="6:6">
      <c r="F382" s="29"/>
    </row>
    <row r="383" spans="6:6">
      <c r="F383" s="29"/>
    </row>
    <row r="384" spans="6:6">
      <c r="F384" s="29"/>
    </row>
    <row r="385" spans="6:6">
      <c r="F385" s="29"/>
    </row>
    <row r="386" spans="6:6">
      <c r="F386" s="29"/>
    </row>
    <row r="387" spans="6:6">
      <c r="F387" s="29"/>
    </row>
    <row r="388" spans="6:6">
      <c r="F388" s="29"/>
    </row>
    <row r="389" spans="6:6">
      <c r="F389" s="29"/>
    </row>
    <row r="390" spans="6:6">
      <c r="F390" s="29"/>
    </row>
    <row r="391" spans="6:6">
      <c r="F391" s="29"/>
    </row>
    <row r="392" spans="6:6">
      <c r="F392" s="29"/>
    </row>
    <row r="393" spans="6:6">
      <c r="F393" s="29"/>
    </row>
    <row r="394" spans="6:6">
      <c r="F394" s="29"/>
    </row>
    <row r="395" spans="6:6">
      <c r="F395" s="29"/>
    </row>
    <row r="396" spans="6:6">
      <c r="F396" s="29"/>
    </row>
    <row r="397" spans="6:6">
      <c r="F397" s="29"/>
    </row>
    <row r="398" spans="6:6">
      <c r="F398" s="29"/>
    </row>
    <row r="399" spans="6:6">
      <c r="F399" s="29"/>
    </row>
    <row r="400" spans="6:6">
      <c r="F400" s="29"/>
    </row>
    <row r="401" spans="6:6">
      <c r="F401" s="29"/>
    </row>
    <row r="402" spans="6:6">
      <c r="F402" s="29"/>
    </row>
    <row r="403" spans="6:6">
      <c r="F403" s="29"/>
    </row>
    <row r="404" spans="6:6">
      <c r="F404" s="29"/>
    </row>
    <row r="405" spans="6:6">
      <c r="F405" s="29"/>
    </row>
    <row r="406" spans="6:6">
      <c r="F406" s="29"/>
    </row>
    <row r="407" spans="6:6">
      <c r="F407" s="29"/>
    </row>
    <row r="408" spans="6:6">
      <c r="F408" s="29"/>
    </row>
    <row r="409" spans="6:6">
      <c r="F409" s="29"/>
    </row>
    <row r="410" spans="6:6">
      <c r="F410" s="29"/>
    </row>
    <row r="411" spans="6:6">
      <c r="F411" s="29"/>
    </row>
    <row r="412" spans="6:6">
      <c r="F412" s="29"/>
    </row>
    <row r="413" spans="6:6">
      <c r="F413" s="29"/>
    </row>
    <row r="414" spans="6:6">
      <c r="F414" s="29"/>
    </row>
    <row r="415" spans="6:6">
      <c r="F415" s="29"/>
    </row>
    <row r="416" spans="6:6">
      <c r="F416" s="29"/>
    </row>
    <row r="417" spans="6:6">
      <c r="F417" s="29"/>
    </row>
    <row r="418" spans="6:6">
      <c r="F418" s="29"/>
    </row>
    <row r="419" spans="6:6">
      <c r="F419" s="29"/>
    </row>
    <row r="420" spans="6:6">
      <c r="F420" s="29"/>
    </row>
    <row r="421" spans="6:6">
      <c r="F421" s="29"/>
    </row>
    <row r="422" spans="6:6">
      <c r="F422" s="29"/>
    </row>
    <row r="423" spans="6:6">
      <c r="F423" s="29"/>
    </row>
    <row r="424" spans="6:6">
      <c r="F424" s="29"/>
    </row>
    <row r="425" spans="6:6">
      <c r="F425" s="29"/>
    </row>
    <row r="426" spans="6:6">
      <c r="F426" s="29"/>
    </row>
    <row r="427" spans="6:6">
      <c r="F427" s="29"/>
    </row>
    <row r="428" spans="6:6">
      <c r="F428" s="29"/>
    </row>
    <row r="429" spans="6:6">
      <c r="F429" s="29"/>
    </row>
    <row r="430" spans="6:6">
      <c r="F430" s="29"/>
    </row>
    <row r="431" spans="6:6">
      <c r="F431" s="29"/>
    </row>
    <row r="432" spans="6:6">
      <c r="F432" s="29"/>
    </row>
    <row r="433" spans="6:6">
      <c r="F433" s="29"/>
    </row>
    <row r="434" spans="6:6">
      <c r="F434" s="29"/>
    </row>
    <row r="435" spans="6:6">
      <c r="F435" s="29"/>
    </row>
    <row r="436" spans="6:6">
      <c r="F436" s="29"/>
    </row>
    <row r="437" spans="6:6">
      <c r="F437" s="29"/>
    </row>
    <row r="438" spans="6:6">
      <c r="F438" s="29"/>
    </row>
    <row r="439" spans="6:6">
      <c r="F439" s="29"/>
    </row>
    <row r="440" spans="6:6">
      <c r="F440" s="29"/>
    </row>
    <row r="441" spans="6:6">
      <c r="F441" s="29"/>
    </row>
    <row r="442" spans="6:6">
      <c r="F442" s="29"/>
    </row>
    <row r="443" spans="6:6">
      <c r="F443" s="29"/>
    </row>
    <row r="444" spans="6:6">
      <c r="F444" s="29"/>
    </row>
    <row r="445" spans="6:6">
      <c r="F445" s="29"/>
    </row>
    <row r="446" spans="6:6">
      <c r="F446" s="29"/>
    </row>
    <row r="447" spans="6:6">
      <c r="F447" s="29"/>
    </row>
    <row r="448" spans="6:6">
      <c r="F448" s="29"/>
    </row>
    <row r="449" spans="6:6">
      <c r="F449" s="29"/>
    </row>
    <row r="450" spans="6:6">
      <c r="F450" s="29"/>
    </row>
    <row r="451" spans="6:6">
      <c r="F451" s="29"/>
    </row>
    <row r="452" spans="6:6">
      <c r="F452" s="29"/>
    </row>
    <row r="453" spans="6:6">
      <c r="F453" s="29"/>
    </row>
    <row r="454" spans="6:6">
      <c r="F454" s="29"/>
    </row>
    <row r="455" spans="6:6">
      <c r="F455" s="29"/>
    </row>
    <row r="456" spans="6:6">
      <c r="F456" s="29"/>
    </row>
    <row r="457" spans="6:6">
      <c r="F457" s="29"/>
    </row>
    <row r="458" spans="6:6">
      <c r="F458" s="29"/>
    </row>
    <row r="459" spans="6:6">
      <c r="F459" s="29"/>
    </row>
    <row r="460" spans="6:6">
      <c r="F460" s="29"/>
    </row>
    <row r="461" spans="6:6">
      <c r="F461" s="29"/>
    </row>
    <row r="462" spans="6:6">
      <c r="F462" s="29"/>
    </row>
    <row r="463" spans="6:6">
      <c r="F463" s="29"/>
    </row>
    <row r="464" spans="6:6">
      <c r="F464" s="29"/>
    </row>
    <row r="465" spans="6:6">
      <c r="F465" s="29"/>
    </row>
    <row r="466" spans="6:6">
      <c r="F466" s="29"/>
    </row>
    <row r="467" spans="6:6">
      <c r="F467" s="29"/>
    </row>
    <row r="468" spans="6:6">
      <c r="F468" s="29"/>
    </row>
    <row r="469" spans="6:6">
      <c r="F469" s="29"/>
    </row>
    <row r="470" spans="6:6">
      <c r="F470" s="29"/>
    </row>
    <row r="471" spans="6:6">
      <c r="F471" s="29"/>
    </row>
    <row r="472" spans="6:6">
      <c r="F472" s="29"/>
    </row>
    <row r="473" spans="6:6">
      <c r="F473" s="29"/>
    </row>
    <row r="474" spans="6:6">
      <c r="F474" s="29"/>
    </row>
    <row r="475" spans="6:6">
      <c r="F475" s="29"/>
    </row>
    <row r="476" spans="6:6">
      <c r="F476" s="29"/>
    </row>
    <row r="477" spans="6:6">
      <c r="F477" s="29"/>
    </row>
    <row r="478" spans="6:6">
      <c r="F478" s="29"/>
    </row>
    <row r="479" spans="6:6">
      <c r="F479" s="29"/>
    </row>
    <row r="480" spans="6:6">
      <c r="F480" s="29"/>
    </row>
    <row r="481" spans="6:6">
      <c r="F481" s="29"/>
    </row>
    <row r="482" spans="6:6">
      <c r="F482" s="29"/>
    </row>
    <row r="483" spans="6:6">
      <c r="F483" s="29"/>
    </row>
    <row r="484" spans="6:6">
      <c r="F484" s="29"/>
    </row>
    <row r="485" spans="6:6">
      <c r="F485" s="29"/>
    </row>
    <row r="486" spans="6:6">
      <c r="F486" s="29"/>
    </row>
    <row r="487" spans="6:6">
      <c r="F487" s="29"/>
    </row>
    <row r="488" spans="6:6">
      <c r="F488" s="29"/>
    </row>
    <row r="489" spans="6:6">
      <c r="F489" s="29"/>
    </row>
    <row r="490" spans="6:6">
      <c r="F490" s="29"/>
    </row>
    <row r="491" spans="6:6">
      <c r="F491" s="29"/>
    </row>
    <row r="492" spans="6:6">
      <c r="F492" s="29"/>
    </row>
    <row r="493" spans="6:6">
      <c r="F493" s="29"/>
    </row>
    <row r="494" spans="6:6">
      <c r="F494" s="29"/>
    </row>
    <row r="495" spans="6:6">
      <c r="F495" s="29"/>
    </row>
    <row r="496" spans="6:6">
      <c r="F496" s="29"/>
    </row>
    <row r="497" spans="6:6">
      <c r="F497" s="29"/>
    </row>
    <row r="498" spans="6:6">
      <c r="F498" s="29"/>
    </row>
    <row r="499" spans="6:6">
      <c r="F499" s="29"/>
    </row>
    <row r="500" spans="6:6">
      <c r="F500" s="29"/>
    </row>
    <row r="501" spans="6:6">
      <c r="F501" s="29"/>
    </row>
    <row r="502" spans="6:6">
      <c r="F502" s="29"/>
    </row>
    <row r="503" spans="6:6">
      <c r="F503" s="29"/>
    </row>
    <row r="504" spans="6:6">
      <c r="F504" s="29"/>
    </row>
    <row r="505" spans="6:6">
      <c r="F505" s="29"/>
    </row>
    <row r="506" spans="6:6">
      <c r="F506" s="29"/>
    </row>
    <row r="507" spans="6:6">
      <c r="F507" s="29"/>
    </row>
    <row r="508" spans="6:6">
      <c r="F508" s="29"/>
    </row>
    <row r="509" spans="6:6">
      <c r="F509" s="29"/>
    </row>
    <row r="510" spans="6:6">
      <c r="F510" s="29"/>
    </row>
    <row r="511" spans="6:6">
      <c r="F511" s="29"/>
    </row>
    <row r="512" spans="6:6">
      <c r="F512" s="29"/>
    </row>
    <row r="513" spans="6:6">
      <c r="F513" s="29"/>
    </row>
    <row r="514" spans="6:6">
      <c r="F514" s="29"/>
    </row>
    <row r="515" spans="6:6">
      <c r="F515" s="29"/>
    </row>
    <row r="516" spans="6:6">
      <c r="F516" s="29"/>
    </row>
    <row r="517" spans="6:6">
      <c r="F517" s="29"/>
    </row>
    <row r="518" spans="6:6">
      <c r="F518" s="29"/>
    </row>
    <row r="519" spans="6:6">
      <c r="F519" s="29"/>
    </row>
    <row r="520" spans="6:6">
      <c r="F520" s="29"/>
    </row>
    <row r="521" spans="6:6">
      <c r="F521" s="29"/>
    </row>
    <row r="522" spans="6:6">
      <c r="F522" s="29"/>
    </row>
    <row r="523" spans="6:6">
      <c r="F523" s="29"/>
    </row>
    <row r="524" spans="6:6">
      <c r="F524" s="29"/>
    </row>
    <row r="525" spans="6:6">
      <c r="F525" s="29"/>
    </row>
    <row r="526" spans="6:6">
      <c r="F526" s="29"/>
    </row>
    <row r="527" spans="6:6">
      <c r="F527" s="29"/>
    </row>
    <row r="528" spans="6:6">
      <c r="F528" s="29"/>
    </row>
    <row r="529" spans="6:6">
      <c r="F529" s="29"/>
    </row>
    <row r="530" spans="6:6">
      <c r="F530" s="29"/>
    </row>
    <row r="531" spans="6:6">
      <c r="F531" s="29"/>
    </row>
    <row r="532" spans="6:6">
      <c r="F532" s="29"/>
    </row>
    <row r="533" spans="6:6">
      <c r="F533" s="29"/>
    </row>
    <row r="534" spans="6:6">
      <c r="F534" s="29"/>
    </row>
    <row r="535" spans="6:6">
      <c r="F535" s="29"/>
    </row>
    <row r="536" spans="6:6">
      <c r="F536" s="29"/>
    </row>
    <row r="537" spans="6:6">
      <c r="F537" s="29"/>
    </row>
    <row r="538" spans="6:6">
      <c r="F538" s="29"/>
    </row>
    <row r="539" spans="6:6">
      <c r="F539" s="29"/>
    </row>
    <row r="540" spans="6:6">
      <c r="F540" s="29"/>
    </row>
    <row r="541" spans="6:6">
      <c r="F541" s="29"/>
    </row>
    <row r="542" spans="6:6">
      <c r="F542" s="29"/>
    </row>
    <row r="543" spans="6:6">
      <c r="F543" s="29"/>
    </row>
    <row r="544" spans="6:6">
      <c r="F544" s="29"/>
    </row>
    <row r="545" spans="6:6">
      <c r="F545" s="29"/>
    </row>
    <row r="546" spans="6:6">
      <c r="F546" s="29"/>
    </row>
    <row r="547" spans="6:6">
      <c r="F547" s="29"/>
    </row>
    <row r="548" spans="6:6">
      <c r="F548" s="29"/>
    </row>
    <row r="549" spans="6:6">
      <c r="F549" s="29"/>
    </row>
    <row r="550" spans="6:6">
      <c r="F550" s="29"/>
    </row>
    <row r="551" spans="6:6">
      <c r="F551" s="29"/>
    </row>
    <row r="552" spans="6:6">
      <c r="F552" s="29"/>
    </row>
    <row r="553" spans="6:6">
      <c r="F553" s="29"/>
    </row>
    <row r="554" spans="6:6">
      <c r="F554" s="29"/>
    </row>
    <row r="555" spans="6:6">
      <c r="F555" s="29"/>
    </row>
    <row r="556" spans="6:6">
      <c r="F556" s="29"/>
    </row>
    <row r="557" spans="6:6">
      <c r="F557" s="29"/>
    </row>
    <row r="558" spans="6:6">
      <c r="F558" s="29"/>
    </row>
    <row r="559" spans="6:6">
      <c r="F559" s="29"/>
    </row>
    <row r="560" spans="6:6">
      <c r="F560" s="29"/>
    </row>
    <row r="561" spans="6:6">
      <c r="F561" s="29"/>
    </row>
    <row r="562" spans="6:6">
      <c r="F562" s="29"/>
    </row>
    <row r="563" spans="6:6">
      <c r="F563" s="29"/>
    </row>
    <row r="564" spans="6:6">
      <c r="F564" s="29"/>
    </row>
    <row r="565" spans="6:6">
      <c r="F565" s="29"/>
    </row>
    <row r="566" spans="6:6">
      <c r="F566" s="29"/>
    </row>
    <row r="567" spans="6:6">
      <c r="F567" s="29"/>
    </row>
    <row r="568" spans="6:6">
      <c r="F568" s="29"/>
    </row>
    <row r="569" spans="6:6">
      <c r="F569" s="29"/>
    </row>
    <row r="570" spans="6:6">
      <c r="F570" s="29"/>
    </row>
    <row r="571" spans="6:6">
      <c r="F571" s="29"/>
    </row>
    <row r="572" spans="6:6">
      <c r="F572" s="29"/>
    </row>
    <row r="573" spans="6:6">
      <c r="F573" s="29"/>
    </row>
    <row r="574" spans="6:6">
      <c r="F574" s="29"/>
    </row>
    <row r="575" spans="6:6">
      <c r="F575" s="29"/>
    </row>
    <row r="576" spans="6:6">
      <c r="F576" s="29"/>
    </row>
    <row r="577" spans="6:6">
      <c r="F577" s="29"/>
    </row>
    <row r="578" spans="6:6">
      <c r="F578" s="29"/>
    </row>
    <row r="579" spans="6:6">
      <c r="F579" s="29"/>
    </row>
    <row r="580" spans="6:6">
      <c r="F580" s="29"/>
    </row>
    <row r="581" spans="6:6">
      <c r="F581" s="29"/>
    </row>
    <row r="582" spans="6:6">
      <c r="F582" s="29"/>
    </row>
    <row r="583" spans="6:6">
      <c r="F583" s="29"/>
    </row>
    <row r="584" spans="6:6">
      <c r="F584" s="29"/>
    </row>
    <row r="585" spans="6:6">
      <c r="F585" s="29"/>
    </row>
    <row r="586" spans="6:6">
      <c r="F586" s="29"/>
    </row>
    <row r="587" spans="6:6">
      <c r="F587" s="29"/>
    </row>
    <row r="588" spans="6:6">
      <c r="F588" s="29"/>
    </row>
    <row r="589" spans="6:6">
      <c r="F589" s="29"/>
    </row>
    <row r="590" spans="6:6">
      <c r="F590" s="29"/>
    </row>
    <row r="591" spans="6:6">
      <c r="F591" s="29"/>
    </row>
    <row r="592" spans="6:6">
      <c r="F592" s="29"/>
    </row>
    <row r="593" spans="6:6">
      <c r="F593" s="29"/>
    </row>
    <row r="594" spans="6:6">
      <c r="F594" s="29"/>
    </row>
    <row r="595" spans="6:6">
      <c r="F595" s="29"/>
    </row>
    <row r="596" spans="6:6">
      <c r="F596" s="29"/>
    </row>
    <row r="597" spans="6:6">
      <c r="F597" s="29"/>
    </row>
    <row r="598" spans="6:6">
      <c r="F598" s="29"/>
    </row>
    <row r="599" spans="6:6">
      <c r="F599" s="29"/>
    </row>
    <row r="600" spans="6:6">
      <c r="F600" s="29"/>
    </row>
    <row r="601" spans="6:6">
      <c r="F601" s="29"/>
    </row>
    <row r="602" spans="6:6">
      <c r="F602" s="29"/>
    </row>
    <row r="603" spans="6:6">
      <c r="F603" s="29"/>
    </row>
    <row r="604" spans="6:6">
      <c r="F604" s="29"/>
    </row>
    <row r="605" spans="6:6">
      <c r="F605" s="29"/>
    </row>
    <row r="606" spans="6:6">
      <c r="F606" s="29"/>
    </row>
    <row r="607" spans="6:6">
      <c r="F607" s="29"/>
    </row>
    <row r="608" spans="6:6">
      <c r="F608" s="29"/>
    </row>
    <row r="609" spans="6:6">
      <c r="F609" s="29"/>
    </row>
    <row r="610" spans="6:6">
      <c r="F610" s="29"/>
    </row>
    <row r="611" spans="6:6">
      <c r="F611" s="29"/>
    </row>
    <row r="612" spans="6:6">
      <c r="F612" s="29"/>
    </row>
    <row r="613" spans="6:6">
      <c r="F613" s="29"/>
    </row>
    <row r="614" spans="6:6">
      <c r="F614" s="29"/>
    </row>
    <row r="615" spans="6:6">
      <c r="F615" s="29"/>
    </row>
    <row r="616" spans="6:6">
      <c r="F616" s="29"/>
    </row>
    <row r="617" spans="6:6">
      <c r="F617" s="29"/>
    </row>
    <row r="618" spans="6:6">
      <c r="F618" s="29"/>
    </row>
    <row r="619" spans="6:6">
      <c r="F619" s="29"/>
    </row>
    <row r="620" spans="6:6">
      <c r="F620" s="29"/>
    </row>
    <row r="621" spans="6:6">
      <c r="F621" s="29"/>
    </row>
    <row r="622" spans="6:6">
      <c r="F622" s="29"/>
    </row>
    <row r="623" spans="6:6">
      <c r="F623" s="29"/>
    </row>
    <row r="624" spans="6:6">
      <c r="F624" s="29"/>
    </row>
    <row r="625" spans="6:6">
      <c r="F625" s="29"/>
    </row>
    <row r="626" spans="6:6">
      <c r="F626" s="29"/>
    </row>
    <row r="627" spans="6:6">
      <c r="F627" s="29"/>
    </row>
    <row r="628" spans="6:6">
      <c r="F628" s="29"/>
    </row>
    <row r="629" spans="6:6">
      <c r="F629" s="29"/>
    </row>
    <row r="630" spans="6:6">
      <c r="F630" s="29"/>
    </row>
    <row r="631" spans="6:6">
      <c r="F631" s="29"/>
    </row>
    <row r="632" spans="6:6">
      <c r="F632" s="29"/>
    </row>
    <row r="633" spans="6:6">
      <c r="F633" s="29"/>
    </row>
    <row r="634" spans="6:6">
      <c r="F634" s="29"/>
    </row>
    <row r="635" spans="6:6">
      <c r="F635" s="29"/>
    </row>
    <row r="636" spans="6:6">
      <c r="F636" s="29"/>
    </row>
    <row r="637" spans="6:6">
      <c r="F637" s="29"/>
    </row>
    <row r="638" spans="6:6">
      <c r="F638" s="29"/>
    </row>
    <row r="639" spans="6:6">
      <c r="F639" s="29"/>
    </row>
    <row r="640" spans="6:6">
      <c r="F640" s="29"/>
    </row>
    <row r="641" spans="6:6">
      <c r="F641" s="29"/>
    </row>
    <row r="642" spans="6:6">
      <c r="F642" s="29"/>
    </row>
    <row r="643" spans="6:6">
      <c r="F643" s="29"/>
    </row>
    <row r="644" spans="6:6">
      <c r="F644" s="29"/>
    </row>
    <row r="645" spans="6:6">
      <c r="F645" s="29"/>
    </row>
    <row r="646" spans="6:6">
      <c r="F646" s="29"/>
    </row>
    <row r="647" spans="6:6">
      <c r="F647" s="29"/>
    </row>
    <row r="648" spans="6:6">
      <c r="F648" s="29"/>
    </row>
    <row r="649" spans="6:6">
      <c r="F649" s="29"/>
    </row>
    <row r="650" spans="6:6">
      <c r="F650" s="29"/>
    </row>
    <row r="651" spans="6:6">
      <c r="F651" s="29"/>
    </row>
    <row r="652" spans="6:6">
      <c r="F652" s="29"/>
    </row>
    <row r="653" spans="6:6">
      <c r="F653" s="29"/>
    </row>
    <row r="654" spans="6:6">
      <c r="F654" s="29"/>
    </row>
    <row r="655" spans="6:6">
      <c r="F655" s="29"/>
    </row>
    <row r="656" spans="6:6">
      <c r="F656" s="29"/>
    </row>
    <row r="657" spans="6:6">
      <c r="F657" s="29"/>
    </row>
    <row r="658" spans="6:6">
      <c r="F658" s="29"/>
    </row>
    <row r="659" spans="6:6">
      <c r="F659" s="29"/>
    </row>
    <row r="660" spans="6:6">
      <c r="F660" s="29"/>
    </row>
    <row r="661" spans="6:6">
      <c r="F661" s="29"/>
    </row>
    <row r="662" spans="6:6">
      <c r="F662" s="29"/>
    </row>
    <row r="663" spans="6:6">
      <c r="F663" s="29"/>
    </row>
    <row r="664" spans="6:6">
      <c r="F664" s="29"/>
    </row>
    <row r="665" spans="6:6">
      <c r="F665" s="29"/>
    </row>
    <row r="666" spans="6:6">
      <c r="F666" s="29"/>
    </row>
    <row r="667" spans="6:6">
      <c r="F667" s="29"/>
    </row>
    <row r="668" spans="6:6">
      <c r="F668" s="29"/>
    </row>
    <row r="669" spans="6:6">
      <c r="F669" s="29"/>
    </row>
    <row r="670" spans="6:6">
      <c r="F670" s="29"/>
    </row>
    <row r="671" spans="6:6">
      <c r="F671" s="29"/>
    </row>
    <row r="672" spans="6:6">
      <c r="F672" s="29"/>
    </row>
    <row r="673" spans="6:6">
      <c r="F673" s="29"/>
    </row>
    <row r="674" spans="6:6">
      <c r="F674" s="29"/>
    </row>
    <row r="675" spans="6:6">
      <c r="F675" s="29"/>
    </row>
    <row r="676" spans="6:6">
      <c r="F676" s="29"/>
    </row>
    <row r="677" spans="6:6">
      <c r="F677" s="29"/>
    </row>
    <row r="678" spans="6:6">
      <c r="F678" s="29"/>
    </row>
    <row r="679" spans="6:6">
      <c r="F679" s="29"/>
    </row>
    <row r="680" spans="6:6">
      <c r="F680" s="29"/>
    </row>
    <row r="681" spans="6:6">
      <c r="F681" s="29"/>
    </row>
    <row r="682" spans="6:6">
      <c r="F682" s="29"/>
    </row>
    <row r="683" spans="6:6">
      <c r="F683" s="29"/>
    </row>
    <row r="684" spans="6:6">
      <c r="F684" s="29"/>
    </row>
    <row r="685" spans="6:6">
      <c r="F685" s="29"/>
    </row>
    <row r="686" spans="6:6">
      <c r="F686" s="29"/>
    </row>
    <row r="687" spans="6:6">
      <c r="F687" s="29"/>
    </row>
    <row r="688" spans="6:6">
      <c r="F688" s="29"/>
    </row>
    <row r="689" spans="6:6">
      <c r="F689" s="29"/>
    </row>
    <row r="690" spans="6:6">
      <c r="F690" s="29"/>
    </row>
    <row r="691" spans="6:6">
      <c r="F691" s="29"/>
    </row>
    <row r="692" spans="6:6">
      <c r="F692" s="29"/>
    </row>
    <row r="693" spans="6:6">
      <c r="F693" s="29"/>
    </row>
    <row r="694" spans="6:6">
      <c r="F694" s="29"/>
    </row>
    <row r="695" spans="6:6">
      <c r="F695" s="29"/>
    </row>
    <row r="696" spans="6:6">
      <c r="F696" s="29"/>
    </row>
    <row r="697" spans="6:6">
      <c r="F697" s="29"/>
    </row>
    <row r="698" spans="6:6">
      <c r="F698" s="29"/>
    </row>
    <row r="699" spans="6:6">
      <c r="F699" s="29"/>
    </row>
    <row r="700" spans="6:6">
      <c r="F700" s="29"/>
    </row>
    <row r="701" spans="6:6">
      <c r="F701" s="29"/>
    </row>
    <row r="702" spans="6:6">
      <c r="F702" s="29"/>
    </row>
    <row r="703" spans="6:6">
      <c r="F703" s="29"/>
    </row>
    <row r="704" spans="6:6">
      <c r="F704" s="29"/>
    </row>
    <row r="705" spans="6:6">
      <c r="F705" s="29"/>
    </row>
    <row r="706" spans="6:6">
      <c r="F706" s="29"/>
    </row>
    <row r="707" spans="6:6">
      <c r="F707" s="29"/>
    </row>
    <row r="708" spans="6:6">
      <c r="F708" s="29"/>
    </row>
    <row r="709" spans="6:6">
      <c r="F709" s="29"/>
    </row>
    <row r="710" spans="6:6">
      <c r="F710" s="29"/>
    </row>
    <row r="711" spans="6:6">
      <c r="F711" s="29"/>
    </row>
    <row r="712" spans="6:6">
      <c r="F712" s="29"/>
    </row>
    <row r="713" spans="6:6">
      <c r="F713" s="29"/>
    </row>
    <row r="714" spans="6:6">
      <c r="F714" s="29"/>
    </row>
    <row r="715" spans="6:6">
      <c r="F715" s="29"/>
    </row>
    <row r="716" spans="6:6">
      <c r="F716" s="29"/>
    </row>
    <row r="717" spans="6:6">
      <c r="F717" s="29"/>
    </row>
    <row r="718" spans="6:6">
      <c r="F718" s="29"/>
    </row>
    <row r="719" spans="6:6">
      <c r="F719" s="29"/>
    </row>
    <row r="720" spans="6:6">
      <c r="F720" s="29"/>
    </row>
    <row r="721" spans="6:6">
      <c r="F721" s="29"/>
    </row>
    <row r="722" spans="6:6">
      <c r="F722" s="29"/>
    </row>
    <row r="723" spans="6:6">
      <c r="F723" s="29"/>
    </row>
    <row r="724" spans="6:6">
      <c r="F724" s="29"/>
    </row>
    <row r="725" spans="6:6">
      <c r="F725" s="29"/>
    </row>
    <row r="726" spans="6:6">
      <c r="F726" s="29"/>
    </row>
    <row r="727" spans="6:6">
      <c r="F727" s="29"/>
    </row>
    <row r="728" spans="6:6">
      <c r="F728" s="29"/>
    </row>
    <row r="729" spans="6:6">
      <c r="F729" s="29"/>
    </row>
    <row r="730" spans="6:6">
      <c r="F730" s="29"/>
    </row>
    <row r="731" spans="6:6">
      <c r="F731" s="29"/>
    </row>
    <row r="732" spans="6:6">
      <c r="F732" s="29"/>
    </row>
    <row r="733" spans="6:6">
      <c r="F733" s="29"/>
    </row>
    <row r="734" spans="6:6">
      <c r="F734" s="29"/>
    </row>
    <row r="735" spans="6:6">
      <c r="F735" s="29"/>
    </row>
    <row r="736" spans="6:6">
      <c r="F736" s="29"/>
    </row>
    <row r="737" spans="6:6">
      <c r="F737" s="29"/>
    </row>
    <row r="738" spans="6:6">
      <c r="F738" s="29"/>
    </row>
    <row r="739" spans="6:6">
      <c r="F739" s="29"/>
    </row>
    <row r="740" spans="6:6">
      <c r="F740" s="29"/>
    </row>
    <row r="741" spans="6:6">
      <c r="F741" s="29"/>
    </row>
    <row r="742" spans="6:6">
      <c r="F742" s="29"/>
    </row>
    <row r="743" spans="6:6">
      <c r="F743" s="29"/>
    </row>
    <row r="744" spans="6:6">
      <c r="F744" s="29"/>
    </row>
    <row r="745" spans="6:6">
      <c r="F745" s="29"/>
    </row>
    <row r="746" spans="6:6">
      <c r="F746" s="29"/>
    </row>
    <row r="747" spans="6:6">
      <c r="F747" s="29"/>
    </row>
    <row r="748" spans="6:6">
      <c r="F748" s="29"/>
    </row>
    <row r="749" spans="6:6">
      <c r="F749" s="29"/>
    </row>
    <row r="750" spans="6:6">
      <c r="F750" s="29"/>
    </row>
    <row r="751" spans="6:6">
      <c r="F751" s="29"/>
    </row>
    <row r="752" spans="6:6">
      <c r="F752" s="29"/>
    </row>
    <row r="753" spans="6:6">
      <c r="F753" s="29"/>
    </row>
    <row r="754" spans="6:6">
      <c r="F754" s="29"/>
    </row>
    <row r="755" spans="6:6">
      <c r="F755" s="29"/>
    </row>
    <row r="756" spans="6:6">
      <c r="F756" s="29"/>
    </row>
    <row r="757" spans="6:6">
      <c r="F757" s="29"/>
    </row>
    <row r="758" spans="6:6">
      <c r="F758" s="29"/>
    </row>
    <row r="759" spans="6:6">
      <c r="F759" s="29"/>
    </row>
    <row r="760" spans="6:6">
      <c r="F760" s="29"/>
    </row>
    <row r="761" spans="6:6">
      <c r="F761" s="29"/>
    </row>
    <row r="762" spans="6:6">
      <c r="F762" s="29"/>
    </row>
    <row r="763" spans="6:6">
      <c r="F763" s="29"/>
    </row>
    <row r="764" spans="6:6">
      <c r="F764" s="29"/>
    </row>
    <row r="765" spans="6:6">
      <c r="F765" s="29"/>
    </row>
    <row r="766" spans="6:6">
      <c r="F766" s="29"/>
    </row>
    <row r="767" spans="6:6">
      <c r="F767" s="29"/>
    </row>
    <row r="768" spans="6:6">
      <c r="F768" s="29"/>
    </row>
    <row r="769" spans="6:6">
      <c r="F769" s="29"/>
    </row>
    <row r="770" spans="6:6">
      <c r="F770" s="29"/>
    </row>
    <row r="771" spans="6:6">
      <c r="F771" s="29"/>
    </row>
    <row r="772" spans="6:6">
      <c r="F772" s="29"/>
    </row>
    <row r="773" spans="6:6">
      <c r="F773" s="29"/>
    </row>
    <row r="774" spans="6:6">
      <c r="F774" s="29"/>
    </row>
    <row r="775" spans="6:6">
      <c r="F775" s="29"/>
    </row>
    <row r="776" spans="6:6">
      <c r="F776" s="29"/>
    </row>
    <row r="777" spans="6:6">
      <c r="F777" s="29"/>
    </row>
    <row r="778" spans="6:6">
      <c r="F778" s="29"/>
    </row>
    <row r="779" spans="6:6">
      <c r="F779" s="29"/>
    </row>
    <row r="780" spans="6:6">
      <c r="F780" s="29"/>
    </row>
    <row r="781" spans="6:6">
      <c r="F781" s="29"/>
    </row>
    <row r="782" spans="6:6">
      <c r="F782" s="29"/>
    </row>
    <row r="783" spans="6:6">
      <c r="F783" s="29"/>
    </row>
    <row r="784" spans="6:6">
      <c r="F784" s="29"/>
    </row>
    <row r="785" spans="6:6">
      <c r="F785" s="29"/>
    </row>
    <row r="786" spans="6:6">
      <c r="F786" s="29"/>
    </row>
    <row r="787" spans="6:6">
      <c r="F787" s="29"/>
    </row>
    <row r="788" spans="6:6">
      <c r="F788" s="29"/>
    </row>
    <row r="789" spans="6:6">
      <c r="F789" s="29"/>
    </row>
    <row r="790" spans="6:6">
      <c r="F790" s="29"/>
    </row>
    <row r="791" spans="6:6">
      <c r="F791" s="29"/>
    </row>
    <row r="792" spans="6:6">
      <c r="F792" s="29"/>
    </row>
    <row r="793" spans="6:6">
      <c r="F793" s="29"/>
    </row>
    <row r="794" spans="6:6">
      <c r="F794" s="29"/>
    </row>
    <row r="795" spans="6:6">
      <c r="F795" s="29"/>
    </row>
    <row r="796" spans="6:6">
      <c r="F796" s="29"/>
    </row>
    <row r="797" spans="6:6">
      <c r="F797" s="29"/>
    </row>
    <row r="798" spans="6:6">
      <c r="F798" s="29"/>
    </row>
    <row r="799" spans="6:6">
      <c r="F799" s="29"/>
    </row>
    <row r="800" spans="6:6">
      <c r="F800" s="29"/>
    </row>
    <row r="801" spans="6:6">
      <c r="F801" s="29"/>
    </row>
    <row r="802" spans="6:6">
      <c r="F802" s="29"/>
    </row>
    <row r="803" spans="6:6">
      <c r="F803" s="29"/>
    </row>
    <row r="804" spans="6:6">
      <c r="F804" s="29"/>
    </row>
    <row r="805" spans="6:6">
      <c r="F805" s="29"/>
    </row>
    <row r="806" spans="6:6">
      <c r="F806" s="29"/>
    </row>
    <row r="807" spans="6:6">
      <c r="F807" s="29"/>
    </row>
    <row r="808" spans="6:6">
      <c r="F808" s="29"/>
    </row>
    <row r="809" spans="6:6">
      <c r="F809" s="29"/>
    </row>
    <row r="810" spans="6:6">
      <c r="F810" s="29"/>
    </row>
    <row r="811" spans="6:6">
      <c r="F811" s="29"/>
    </row>
    <row r="812" spans="6:6">
      <c r="F812" s="29"/>
    </row>
    <row r="813" spans="6:6">
      <c r="F813" s="29"/>
    </row>
    <row r="814" spans="6:6">
      <c r="F814" s="29"/>
    </row>
    <row r="815" spans="6:6">
      <c r="F815" s="29"/>
    </row>
    <row r="816" spans="6:6">
      <c r="F816" s="29"/>
    </row>
    <row r="817" spans="6:6">
      <c r="F817" s="29"/>
    </row>
    <row r="818" spans="6:6">
      <c r="F818" s="29"/>
    </row>
    <row r="819" spans="6:6">
      <c r="F819" s="29"/>
    </row>
    <row r="820" spans="6:6">
      <c r="F820" s="29"/>
    </row>
    <row r="821" spans="6:6">
      <c r="F821" s="29"/>
    </row>
    <row r="822" spans="6:6">
      <c r="F822" s="29"/>
    </row>
    <row r="823" spans="6:6">
      <c r="F823" s="29"/>
    </row>
    <row r="824" spans="6:6">
      <c r="F824" s="29"/>
    </row>
    <row r="825" spans="6:6">
      <c r="F825" s="29"/>
    </row>
    <row r="826" spans="6:6">
      <c r="F826" s="29"/>
    </row>
    <row r="827" spans="6:6">
      <c r="F827" s="29"/>
    </row>
    <row r="828" spans="6:6">
      <c r="F828" s="29"/>
    </row>
    <row r="829" spans="6:6">
      <c r="F829" s="29"/>
    </row>
    <row r="830" spans="6:6">
      <c r="F830" s="29"/>
    </row>
    <row r="831" spans="6:6">
      <c r="F831" s="29"/>
    </row>
    <row r="832" spans="6:6">
      <c r="F832" s="29"/>
    </row>
    <row r="833" spans="6:6">
      <c r="F833" s="29"/>
    </row>
    <row r="834" spans="6:6">
      <c r="F834" s="29"/>
    </row>
    <row r="835" spans="6:6">
      <c r="F835" s="29"/>
    </row>
    <row r="836" spans="6:6">
      <c r="F836" s="29"/>
    </row>
    <row r="837" spans="6:6">
      <c r="F837" s="29"/>
    </row>
    <row r="838" spans="6:6">
      <c r="F838" s="29"/>
    </row>
    <row r="839" spans="6:6">
      <c r="F839" s="29"/>
    </row>
    <row r="840" spans="6:6">
      <c r="F840" s="29"/>
    </row>
    <row r="841" spans="6:6">
      <c r="F841" s="29"/>
    </row>
    <row r="842" spans="6:6">
      <c r="F842" s="29"/>
    </row>
    <row r="843" spans="6:6">
      <c r="F843" s="29"/>
    </row>
    <row r="844" spans="6:6">
      <c r="F844" s="29"/>
    </row>
    <row r="845" spans="6:6">
      <c r="F845" s="29"/>
    </row>
    <row r="846" spans="6:6">
      <c r="F846" s="29"/>
    </row>
    <row r="847" spans="6:6">
      <c r="F847" s="29"/>
    </row>
    <row r="848" spans="6:6">
      <c r="F848" s="29"/>
    </row>
    <row r="849" spans="6:6">
      <c r="F849" s="29"/>
    </row>
    <row r="850" spans="6:6">
      <c r="F850" s="29"/>
    </row>
    <row r="851" spans="6:6">
      <c r="F851" s="29"/>
    </row>
    <row r="852" spans="6:6">
      <c r="F852" s="29"/>
    </row>
    <row r="853" spans="6:6">
      <c r="F853" s="29"/>
    </row>
    <row r="854" spans="6:6">
      <c r="F854" s="29"/>
    </row>
    <row r="855" spans="6:6">
      <c r="F855" s="29"/>
    </row>
    <row r="856" spans="6:6">
      <c r="F856" s="29"/>
    </row>
    <row r="857" spans="6:6">
      <c r="F857" s="29"/>
    </row>
    <row r="858" spans="6:6">
      <c r="F858" s="29"/>
    </row>
    <row r="859" spans="6:6">
      <c r="F859" s="29"/>
    </row>
    <row r="860" spans="6:6">
      <c r="F860" s="29"/>
    </row>
    <row r="861" spans="6:6">
      <c r="F861" s="29"/>
    </row>
    <row r="862" spans="6:6">
      <c r="F862" s="29"/>
    </row>
    <row r="863" spans="6:6">
      <c r="F863" s="29"/>
    </row>
    <row r="864" spans="6:6">
      <c r="F864" s="29"/>
    </row>
    <row r="865" spans="6:6">
      <c r="F865" s="29"/>
    </row>
    <row r="866" spans="6:6">
      <c r="F866" s="29"/>
    </row>
    <row r="867" spans="6:6">
      <c r="F867" s="29"/>
    </row>
    <row r="868" spans="6:6">
      <c r="F868" s="29"/>
    </row>
    <row r="869" spans="6:6">
      <c r="F869" s="29"/>
    </row>
    <row r="870" spans="6:6">
      <c r="F870" s="29"/>
    </row>
    <row r="871" spans="6:6">
      <c r="F871" s="29"/>
    </row>
    <row r="872" spans="6:6">
      <c r="F872" s="29"/>
    </row>
    <row r="873" spans="6:6">
      <c r="F873" s="29"/>
    </row>
    <row r="874" spans="6:6">
      <c r="F874" s="29"/>
    </row>
    <row r="875" spans="6:6">
      <c r="F875" s="29"/>
    </row>
    <row r="876" spans="6:6">
      <c r="F876" s="29"/>
    </row>
    <row r="877" spans="6:6">
      <c r="F877" s="29"/>
    </row>
    <row r="878" spans="6:6">
      <c r="F878" s="29"/>
    </row>
    <row r="879" spans="6:6">
      <c r="F879" s="29"/>
    </row>
    <row r="880" spans="6:6">
      <c r="F880" s="29"/>
    </row>
    <row r="881" spans="6:6">
      <c r="F881" s="29"/>
    </row>
    <row r="882" spans="6:6">
      <c r="F882" s="29"/>
    </row>
    <row r="883" spans="6:6">
      <c r="F883" s="29"/>
    </row>
    <row r="884" spans="6:6">
      <c r="F884" s="29"/>
    </row>
    <row r="885" spans="6:6">
      <c r="F885" s="29"/>
    </row>
    <row r="886" spans="6:6">
      <c r="F886" s="29"/>
    </row>
    <row r="887" spans="6:6">
      <c r="F887" s="29"/>
    </row>
    <row r="888" spans="6:6">
      <c r="F888" s="29"/>
    </row>
    <row r="889" spans="6:6">
      <c r="F889" s="29"/>
    </row>
    <row r="890" spans="6:6">
      <c r="F890" s="29"/>
    </row>
    <row r="891" spans="6:6">
      <c r="F891" s="29"/>
    </row>
    <row r="892" spans="6:6">
      <c r="F892" s="29"/>
    </row>
    <row r="893" spans="6:6">
      <c r="F893" s="29"/>
    </row>
    <row r="894" spans="6:6">
      <c r="F894" s="29"/>
    </row>
    <row r="895" spans="6:6">
      <c r="F895" s="29"/>
    </row>
    <row r="896" spans="6:6">
      <c r="F896" s="29"/>
    </row>
    <row r="897" spans="6:6">
      <c r="F897" s="29"/>
    </row>
    <row r="898" spans="6:6">
      <c r="F898" s="29"/>
    </row>
    <row r="899" spans="6:6">
      <c r="F899" s="29"/>
    </row>
    <row r="900" spans="6:6">
      <c r="F900" s="29"/>
    </row>
    <row r="901" spans="6:6">
      <c r="F901" s="29"/>
    </row>
    <row r="902" spans="6:6">
      <c r="F902" s="29"/>
    </row>
    <row r="903" spans="6:6">
      <c r="F903" s="29"/>
    </row>
    <row r="904" spans="6:6">
      <c r="F904" s="29"/>
    </row>
    <row r="905" spans="6:6">
      <c r="F905" s="29"/>
    </row>
    <row r="906" spans="6:6">
      <c r="F906" s="29"/>
    </row>
    <row r="907" spans="6:6">
      <c r="F907" s="29"/>
    </row>
    <row r="908" spans="6:6">
      <c r="F908" s="29"/>
    </row>
    <row r="909" spans="6:6">
      <c r="F909" s="29"/>
    </row>
    <row r="910" spans="6:6">
      <c r="F910" s="29"/>
    </row>
    <row r="911" spans="6:6">
      <c r="F911" s="29"/>
    </row>
    <row r="912" spans="6:6">
      <c r="F912" s="29"/>
    </row>
    <row r="913" spans="6:6">
      <c r="F913" s="29"/>
    </row>
    <row r="914" spans="6:6">
      <c r="F914" s="29"/>
    </row>
    <row r="915" spans="6:6">
      <c r="F915" s="29"/>
    </row>
    <row r="916" spans="6:6">
      <c r="F916" s="29"/>
    </row>
    <row r="917" spans="6:6">
      <c r="F917" s="29"/>
    </row>
    <row r="918" spans="6:6">
      <c r="F918" s="29"/>
    </row>
    <row r="919" spans="6:6">
      <c r="F919" s="29"/>
    </row>
    <row r="920" spans="6:6">
      <c r="F920" s="29"/>
    </row>
    <row r="921" spans="6:6">
      <c r="F921" s="29"/>
    </row>
    <row r="922" spans="6:6">
      <c r="F922" s="29"/>
    </row>
    <row r="923" spans="6:6">
      <c r="F923" s="29"/>
    </row>
    <row r="924" spans="6:6">
      <c r="F924" s="29"/>
    </row>
    <row r="925" spans="6:6">
      <c r="F925" s="29"/>
    </row>
    <row r="926" spans="6:6">
      <c r="F926" s="29"/>
    </row>
    <row r="927" spans="6:6">
      <c r="F927" s="29"/>
    </row>
    <row r="928" spans="6:6">
      <c r="F928" s="29"/>
    </row>
    <row r="929" spans="6:6">
      <c r="F929" s="29"/>
    </row>
    <row r="930" spans="6:6">
      <c r="F930" s="29"/>
    </row>
    <row r="931" spans="6:6">
      <c r="F931" s="29"/>
    </row>
    <row r="932" spans="6:6">
      <c r="F932" s="29"/>
    </row>
    <row r="933" spans="6:6">
      <c r="F933" s="29"/>
    </row>
    <row r="934" spans="6:6">
      <c r="F934" s="29"/>
    </row>
    <row r="935" spans="6:6">
      <c r="F935" s="29"/>
    </row>
    <row r="936" spans="6:6">
      <c r="F936" s="29"/>
    </row>
    <row r="937" spans="6:6">
      <c r="F937" s="29"/>
    </row>
    <row r="938" spans="6:6">
      <c r="F938" s="29"/>
    </row>
    <row r="939" spans="6:6">
      <c r="F939" s="29"/>
    </row>
    <row r="940" spans="6:6">
      <c r="F940" s="29"/>
    </row>
    <row r="941" spans="6:6">
      <c r="F941" s="29"/>
    </row>
    <row r="942" spans="6:6">
      <c r="F942" s="29"/>
    </row>
    <row r="943" spans="6:6">
      <c r="F943" s="29"/>
    </row>
    <row r="944" spans="6:6">
      <c r="F944" s="29"/>
    </row>
    <row r="945" spans="6:6">
      <c r="F945" s="29"/>
    </row>
    <row r="946" spans="6:6">
      <c r="F946" s="29"/>
    </row>
    <row r="947" spans="6:6">
      <c r="F947" s="29"/>
    </row>
    <row r="948" spans="6:6">
      <c r="F948" s="29"/>
    </row>
    <row r="949" spans="6:6">
      <c r="F949" s="29"/>
    </row>
    <row r="950" spans="6:6">
      <c r="F950" s="29"/>
    </row>
    <row r="951" spans="6:6">
      <c r="F951" s="29"/>
    </row>
    <row r="952" spans="6:6">
      <c r="F952" s="29"/>
    </row>
    <row r="953" spans="6:6">
      <c r="F953" s="29"/>
    </row>
    <row r="954" spans="6:6">
      <c r="F954" s="29"/>
    </row>
    <row r="955" spans="6:6">
      <c r="F955" s="29"/>
    </row>
    <row r="956" spans="6:6">
      <c r="F956" s="29"/>
    </row>
    <row r="957" spans="6:6">
      <c r="F957" s="29"/>
    </row>
    <row r="958" spans="6:6">
      <c r="F958" s="29"/>
    </row>
    <row r="959" spans="6:6">
      <c r="F959" s="29"/>
    </row>
    <row r="960" spans="6:6">
      <c r="F960" s="29"/>
    </row>
    <row r="961" spans="6:6">
      <c r="F961" s="29"/>
    </row>
    <row r="962" spans="6:6">
      <c r="F962" s="29"/>
    </row>
    <row r="963" spans="6:6">
      <c r="F963" s="29"/>
    </row>
    <row r="964" spans="6:6">
      <c r="F964" s="29"/>
    </row>
    <row r="965" spans="6:6">
      <c r="F965" s="29"/>
    </row>
    <row r="966" spans="6:6">
      <c r="F966" s="29"/>
    </row>
    <row r="967" spans="6:6">
      <c r="F967" s="29"/>
    </row>
    <row r="968" spans="6:6">
      <c r="F968" s="29"/>
    </row>
    <row r="969" spans="6:6">
      <c r="F969" s="29"/>
    </row>
    <row r="970" spans="6:6">
      <c r="F970" s="29"/>
    </row>
    <row r="971" spans="6:6">
      <c r="F971" s="29"/>
    </row>
    <row r="972" spans="6:6">
      <c r="F972" s="29"/>
    </row>
    <row r="973" spans="6:6">
      <c r="F973" s="29"/>
    </row>
    <row r="974" spans="6:6">
      <c r="F974" s="29"/>
    </row>
    <row r="975" spans="6:6">
      <c r="F975" s="29"/>
    </row>
    <row r="976" spans="6:6">
      <c r="F976" s="29"/>
    </row>
    <row r="977" spans="6:6">
      <c r="F977" s="29"/>
    </row>
    <row r="978" spans="6:6">
      <c r="F978" s="29"/>
    </row>
    <row r="979" spans="6:6">
      <c r="F979" s="29"/>
    </row>
    <row r="980" spans="6:6">
      <c r="F980" s="29"/>
    </row>
    <row r="981" spans="6:6">
      <c r="F981" s="29"/>
    </row>
    <row r="982" spans="6:6">
      <c r="F982" s="29"/>
    </row>
    <row r="983" spans="6:6">
      <c r="F983" s="29"/>
    </row>
    <row r="984" spans="6:6">
      <c r="F984" s="29"/>
    </row>
    <row r="985" spans="6:6">
      <c r="F985" s="29"/>
    </row>
    <row r="986" spans="6:6">
      <c r="F986" s="29"/>
    </row>
    <row r="987" spans="6:6">
      <c r="F987" s="29"/>
    </row>
    <row r="988" spans="6:6">
      <c r="F988" s="29"/>
    </row>
    <row r="989" spans="6:6">
      <c r="F989" s="29"/>
    </row>
    <row r="990" spans="6:6">
      <c r="F990" s="29"/>
    </row>
    <row r="991" spans="6:6">
      <c r="F991" s="29"/>
    </row>
    <row r="992" spans="6:6">
      <c r="F992" s="29"/>
    </row>
    <row r="993" spans="6:6">
      <c r="F993" s="29"/>
    </row>
    <row r="994" spans="6:6">
      <c r="F994" s="29"/>
    </row>
    <row r="995" spans="6:6">
      <c r="F995" s="29"/>
    </row>
    <row r="996" spans="6:6">
      <c r="F996" s="29"/>
    </row>
    <row r="997" spans="6:6">
      <c r="F997" s="29"/>
    </row>
    <row r="998" spans="6:6">
      <c r="F998" s="29"/>
    </row>
    <row r="999" spans="6:6">
      <c r="F999" s="29"/>
    </row>
    <row r="1000" spans="6:6">
      <c r="F1000" s="2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3"/>
  <sheetViews>
    <sheetView workbookViewId="0"/>
  </sheetViews>
  <sheetFormatPr baseColWidth="10" defaultColWidth="11.1640625" defaultRowHeight="15" customHeight="1"/>
  <sheetData>
    <row r="1" spans="1:5">
      <c r="A1" s="8" t="s">
        <v>242</v>
      </c>
      <c r="B1" s="8" t="s">
        <v>243</v>
      </c>
      <c r="C1" s="9" t="s">
        <v>244</v>
      </c>
      <c r="D1" s="8" t="s">
        <v>213</v>
      </c>
      <c r="E1" s="8" t="s">
        <v>220</v>
      </c>
    </row>
    <row r="2" spans="1:5">
      <c r="A2" s="11">
        <v>2</v>
      </c>
      <c r="B2" s="11" t="s">
        <v>225</v>
      </c>
      <c r="C2" s="30">
        <v>0.8</v>
      </c>
      <c r="D2" s="17" t="b">
        <v>1</v>
      </c>
      <c r="E2" s="17" t="s">
        <v>245</v>
      </c>
    </row>
    <row r="3" spans="1:5">
      <c r="A3" s="11"/>
      <c r="B3" s="11"/>
      <c r="C3" s="30"/>
      <c r="D3" s="17"/>
      <c r="E3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3"/>
  <sheetViews>
    <sheetView workbookViewId="0"/>
  </sheetViews>
  <sheetFormatPr baseColWidth="10" defaultColWidth="11.1640625" defaultRowHeight="15" customHeight="1"/>
  <sheetData>
    <row r="1" spans="1:11">
      <c r="A1" s="31" t="s">
        <v>213</v>
      </c>
      <c r="B1" s="31" t="s">
        <v>246</v>
      </c>
      <c r="C1" s="10" t="s">
        <v>247</v>
      </c>
      <c r="D1" s="7" t="s">
        <v>248</v>
      </c>
      <c r="E1" s="10" t="s">
        <v>249</v>
      </c>
      <c r="F1" s="31" t="s">
        <v>115</v>
      </c>
      <c r="G1" s="31" t="s">
        <v>250</v>
      </c>
      <c r="H1" s="31" t="s">
        <v>251</v>
      </c>
      <c r="I1" s="31" t="s">
        <v>252</v>
      </c>
      <c r="J1" s="31" t="s">
        <v>253</v>
      </c>
      <c r="K1" s="31" t="s">
        <v>254</v>
      </c>
    </row>
    <row r="2" spans="1:11">
      <c r="A2" s="31" t="b">
        <v>1</v>
      </c>
      <c r="B2" s="31" t="s">
        <v>255</v>
      </c>
      <c r="C2" s="31" t="s">
        <v>256</v>
      </c>
      <c r="D2" s="11">
        <v>4</v>
      </c>
      <c r="E2" s="13">
        <v>1</v>
      </c>
      <c r="F2" s="13">
        <v>7</v>
      </c>
      <c r="G2" s="13">
        <v>2</v>
      </c>
      <c r="H2" s="5">
        <v>1</v>
      </c>
      <c r="I2" s="5">
        <v>0</v>
      </c>
      <c r="J2" s="5">
        <v>0</v>
      </c>
      <c r="K2" s="5" t="s">
        <v>257</v>
      </c>
    </row>
    <row r="3" spans="1:11">
      <c r="A3" s="31" t="b">
        <v>1</v>
      </c>
      <c r="B3" s="32" t="s">
        <v>258</v>
      </c>
      <c r="C3" s="31" t="s">
        <v>256</v>
      </c>
      <c r="D3" s="11">
        <v>7</v>
      </c>
      <c r="E3" s="13">
        <v>2</v>
      </c>
      <c r="F3" s="13">
        <v>7</v>
      </c>
      <c r="G3" s="13">
        <v>2</v>
      </c>
      <c r="H3" s="5">
        <v>1</v>
      </c>
      <c r="I3" s="5">
        <v>0</v>
      </c>
      <c r="J3" s="5">
        <v>0</v>
      </c>
      <c r="K3" s="5" t="s">
        <v>257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5"/>
  <sheetViews>
    <sheetView workbookViewId="0"/>
  </sheetViews>
  <sheetFormatPr baseColWidth="10" defaultColWidth="11.1640625" defaultRowHeight="15" customHeight="1"/>
  <sheetData>
    <row r="1" spans="1:2">
      <c r="A1" s="8" t="s">
        <v>165</v>
      </c>
      <c r="B1" s="8" t="s">
        <v>166</v>
      </c>
    </row>
    <row r="2" spans="1:2">
      <c r="A2" s="17" t="s">
        <v>259</v>
      </c>
      <c r="B2" s="17" t="s">
        <v>260</v>
      </c>
    </row>
    <row r="3" spans="1:2">
      <c r="A3" s="17" t="s">
        <v>261</v>
      </c>
      <c r="B3" s="11">
        <v>50</v>
      </c>
    </row>
    <row r="4" spans="1:2">
      <c r="A4" s="17" t="s">
        <v>262</v>
      </c>
      <c r="B4" s="17">
        <v>10</v>
      </c>
    </row>
    <row r="5" spans="1:2">
      <c r="A5" s="17" t="s">
        <v>263</v>
      </c>
      <c r="B5" s="17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Reservations</vt:lpstr>
      <vt:lpstr>Variable Expenses</vt:lpstr>
      <vt:lpstr>Fixed Expenses</vt:lpstr>
      <vt:lpstr>Pricing Rules</vt:lpstr>
      <vt:lpstr>Leads</vt:lpstr>
      <vt:lpstr>Widget Settings</vt:lpstr>
      <vt:lpstr>Monthly Targets</vt:lpstr>
      <vt:lpstr>Lookups</vt:lpstr>
      <vt:lpstr>Listings</vt:lpstr>
      <vt:lpstr>Market Listings</vt:lpstr>
      <vt:lpstr>Market Competitor Sets</vt:lpstr>
      <vt:lpstr>Market Scenarios</vt:lpstr>
      <vt:lpstr>Market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HAQUE</cp:lastModifiedBy>
  <dcterms:modified xsi:type="dcterms:W3CDTF">2026-06-05T17:04:54Z</dcterms:modified>
</cp:coreProperties>
</file>